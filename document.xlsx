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ssumptions" sheetId="1" state="visible" r:id="rId3"/>
    <sheet name="Full Keyword Breakdown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<sst xmlns="http://schemas.openxmlformats.org/spreadsheetml/2006/main" count="938" uniqueCount="99">
  <si>
    <t xml:space="preserve">DEEP BLUE HEALTH - COMPLETE KEYWORD-LEVEL ANALYSIS</t>
  </si>
  <si>
    <t xml:space="preserve">GLOBAL ASSUMPTIONS</t>
  </si>
  <si>
    <t xml:space="preserve">Monthly Test Budget</t>
  </si>
  <si>
    <t xml:space="preserve">Base CVR (Shopify 90-day)</t>
  </si>
  <si>
    <t xml:space="preserve">New Market CVR Discount</t>
  </si>
  <si>
    <t xml:space="preserve">Adjusted CVR</t>
  </si>
  <si>
    <t xml:space="preserve">Target CPA</t>
  </si>
  <si>
    <t xml:space="preserve">Max CPA % of AOV</t>
  </si>
  <si>
    <t xml:space="preserve">PRODUCTS</t>
  </si>
  <si>
    <t xml:space="preserve">Product</t>
  </si>
  <si>
    <t xml:space="preserve">AOV</t>
  </si>
  <si>
    <t xml:space="preserve">Max CPA</t>
  </si>
  <si>
    <t xml:space="preserve">KUKU Range</t>
  </si>
  <si>
    <t xml:space="preserve">Marine Collagen Twin Pack</t>
  </si>
  <si>
    <t xml:space="preserve">Pure Pets Gift Box</t>
  </si>
  <si>
    <t xml:space="preserve">Sheep Placenta Twin Pack</t>
  </si>
  <si>
    <t xml:space="preserve">Deer Velvet Twin Pack</t>
  </si>
  <si>
    <t xml:space="preserve">Pro Cellular White</t>
  </si>
  <si>
    <t xml:space="preserve">CeRa+ Smooth</t>
  </si>
  <si>
    <t xml:space="preserve">NANO + White</t>
  </si>
  <si>
    <t xml:space="preserve">COMPLETE PRODUCT × MARKET × KEYWORD ANALYSIS</t>
  </si>
  <si>
    <t xml:space="preserve">Every keyword for every product in every market</t>
  </si>
  <si>
    <t xml:space="preserve">Market</t>
  </si>
  <si>
    <t xml:space="preserve">Keyword</t>
  </si>
  <si>
    <t xml:space="preserve">Monthly Searches</t>
  </si>
  <si>
    <t xml:space="preserve">YoY Change</t>
  </si>
  <si>
    <t xml:space="preserve">CPC Low</t>
  </si>
  <si>
    <t xml:space="preserve">CPC High</t>
  </si>
  <si>
    <t xml:space="preserve">Avg CPC</t>
  </si>
  <si>
    <t xml:space="preserve">Est. Clicks</t>
  </si>
  <si>
    <t xml:space="preserve">Est. Conversions</t>
  </si>
  <si>
    <t xml:space="preserve">Est. CPA</t>
  </si>
  <si>
    <t xml:space="preserve">Viable?</t>
  </si>
  <si>
    <t xml:space="preserve">Language</t>
  </si>
  <si>
    <t xml:space="preserve">Priority</t>
  </si>
  <si>
    <t xml:space="preserve">Philippines</t>
  </si>
  <si>
    <t xml:space="preserve">green lipped mussel</t>
  </si>
  <si>
    <t xml:space="preserve">-</t>
  </si>
  <si>
    <t xml:space="preserve">English OK</t>
  </si>
  <si>
    <t xml:space="preserve">joint health supplements</t>
  </si>
  <si>
    <t xml:space="preserve">+2300%</t>
  </si>
  <si>
    <t xml:space="preserve">joint supplements</t>
  </si>
  <si>
    <t xml:space="preserve">arthritis supplements</t>
  </si>
  <si>
    <t xml:space="preserve">mussel oil</t>
  </si>
  <si>
    <t xml:space="preserve">natural joint supplement</t>
  </si>
  <si>
    <t xml:space="preserve">Malaysia</t>
  </si>
  <si>
    <t xml:space="preserve">glucosamine chondroitin</t>
  </si>
  <si>
    <t xml:space="preserve">Thailand</t>
  </si>
  <si>
    <t xml:space="preserve">+22%</t>
  </si>
  <si>
    <t xml:space="preserve">Localise</t>
  </si>
  <si>
    <t xml:space="preserve">-40%</t>
  </si>
  <si>
    <t xml:space="preserve">-67%</t>
  </si>
  <si>
    <t xml:space="preserve">-18%</t>
  </si>
  <si>
    <t xml:space="preserve">Singapore</t>
  </si>
  <si>
    <t xml:space="preserve">Hong Kong</t>
  </si>
  <si>
    <t xml:space="preserve">+300%</t>
  </si>
  <si>
    <t xml:space="preserve">Japan</t>
  </si>
  <si>
    <t xml:space="preserve">+29%</t>
  </si>
  <si>
    <t xml:space="preserve">-19%</t>
  </si>
  <si>
    <t xml:space="preserve">Canada</t>
  </si>
  <si>
    <t xml:space="preserve">Germany</t>
  </si>
  <si>
    <t xml:space="preserve">-21%</t>
  </si>
  <si>
    <t xml:space="preserve">New Zealand</t>
  </si>
  <si>
    <t xml:space="preserve">glucosamine</t>
  </si>
  <si>
    <t xml:space="preserve">Australia</t>
  </si>
  <si>
    <t xml:space="preserve">United States</t>
  </si>
  <si>
    <t xml:space="preserve">United Kingdom</t>
  </si>
  <si>
    <t xml:space="preserve">marine collagen</t>
  </si>
  <si>
    <t xml:space="preserve">collagen supplements</t>
  </si>
  <si>
    <t xml:space="preserve">+26%</t>
  </si>
  <si>
    <t xml:space="preserve">collagen peptides</t>
  </si>
  <si>
    <t xml:space="preserve">hydrolyzed collagen</t>
  </si>
  <si>
    <t xml:space="preserve">fish collagen</t>
  </si>
  <si>
    <t xml:space="preserve">best collagen supplement</t>
  </si>
  <si>
    <t xml:space="preserve">collagen powder</t>
  </si>
  <si>
    <t xml:space="preserve">+21%</t>
  </si>
  <si>
    <t xml:space="preserve">-33%</t>
  </si>
  <si>
    <t xml:space="preserve">0%</t>
  </si>
  <si>
    <t xml:space="preserve">-36%</t>
  </si>
  <si>
    <t xml:space="preserve">-47%</t>
  </si>
  <si>
    <t xml:space="preserve">+191%</t>
  </si>
  <si>
    <t xml:space="preserve">dog joint supplement</t>
  </si>
  <si>
    <t xml:space="preserve">+50%</t>
  </si>
  <si>
    <t xml:space="preserve">glucosamine for dogs</t>
  </si>
  <si>
    <t xml:space="preserve">dog supplements</t>
  </si>
  <si>
    <t xml:space="preserve">dog joint supplements</t>
  </si>
  <si>
    <t xml:space="preserve">+56%</t>
  </si>
  <si>
    <t xml:space="preserve">sheep placenta</t>
  </si>
  <si>
    <t xml:space="preserve">placenta capsules</t>
  </si>
  <si>
    <t xml:space="preserve">+100%</t>
  </si>
  <si>
    <t xml:space="preserve">deer velvet</t>
  </si>
  <si>
    <t xml:space="preserve">deer antler velvet</t>
  </si>
  <si>
    <t xml:space="preserve">-50%</t>
  </si>
  <si>
    <t xml:space="preserve">skin whitening</t>
  </si>
  <si>
    <t xml:space="preserve">whitening supplements</t>
  </si>
  <si>
    <t xml:space="preserve">skin whitening pills</t>
  </si>
  <si>
    <t xml:space="preserve">+357%</t>
  </si>
  <si>
    <t xml:space="preserve">beauty supplements</t>
  </si>
  <si>
    <t xml:space="preserve">anti aging supplements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</si>
</sst>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&quot;NZ$&quot;#,##0"/>
    <numFmt numFmtId="166" formatCode="0.00%"/>
    <numFmt numFmtId="167" formatCode="0%"/>
    <numFmt numFmtId="168" formatCode="#,##0"/>
    <numFmt numFmtId="169" formatCode="&quot;NZ$&quot;#,##0.00"/>
    <numFmt numFmtId="170" formatCode="0.00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4E79"/>
      <name val="Cambria"/>
      <family val="0"/>
      <charset val="1"/>
    </font>
    <font>
      <b val="true"/>
      <sz val="12"/>
      <name val="Cambria"/>
      <family val="0"/>
      <charset val="1"/>
    </font>
    <font>
      <sz val="10"/>
      <color rgb="FF0000FF"/>
      <name val="Cambria"/>
      <family val="0"/>
      <charset val="1"/>
    </font>
    <font>
      <b val="true"/>
      <sz val="10"/>
      <color rgb="FFFFFFFF"/>
      <name val="Cambria"/>
      <family val="0"/>
      <charset val="1"/>
    </font>
    <font>
      <i val="true"/>
      <sz val="11"/>
      <color rgb="FF666666"/>
      <name val="Cambria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FFF2CC"/>
        <bgColor rgb="FFE2EFDA"/>
      </patternFill>
    </fill>
    <fill>
      <patternFill patternType="solid">
        <fgColor rgb="FFE2EFDA"/>
        <bgColor rgb="FFFFF2CC"/>
      </patternFill>
    </fill>
    <fill>
      <patternFill patternType="solid">
        <fgColor rgb="FF1F4E79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8"/>
    <col collapsed="false" customWidth="true" hidden="false" outlineLevel="0" max="3" min="2" style="0" width="12"/>
  </cols>
  <sheetData>
    <row r="1" customFormat="false" ht="19.7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</row>
    <row r="4" customFormat="false" ht="15" hidden="false" customHeight="false" outlineLevel="0" collapsed="false">
      <c r="A4" s="0" t="s">
        <v>2</v>
      </c>
      <c r="B4" s="3" t="n">
        <v>500</v>
      </c>
    </row>
    <row r="5" customFormat="false" ht="15" hidden="false" customHeight="false" outlineLevel="0" collapsed="false">
      <c r="A5" s="0" t="s">
        <v>3</v>
      </c>
      <c r="B5" s="4" t="n">
        <v>0.0355</v>
      </c>
    </row>
    <row r="6" customFormat="false" ht="15" hidden="false" customHeight="false" outlineLevel="0" collapsed="false">
      <c r="A6" s="0" t="s">
        <v>4</v>
      </c>
      <c r="B6" s="5" t="n">
        <v>0.7</v>
      </c>
    </row>
    <row r="7" customFormat="false" ht="15" hidden="false" customHeight="false" outlineLevel="0" collapsed="false">
      <c r="A7" s="0" t="s">
        <v>5</v>
      </c>
      <c r="B7" s="6" t="n">
        <f aca="false">B5*B6</f>
        <v>0.02485</v>
      </c>
    </row>
    <row r="8" customFormat="false" ht="15" hidden="false" customHeight="false" outlineLevel="0" collapsed="false">
      <c r="A8" s="0" t="s">
        <v>6</v>
      </c>
      <c r="B8" s="3" t="n">
        <v>50</v>
      </c>
    </row>
    <row r="9" customFormat="false" ht="15" hidden="false" customHeight="false" outlineLevel="0" collapsed="false">
      <c r="A9" s="0" t="s">
        <v>7</v>
      </c>
      <c r="B9" s="5" t="n">
        <v>0.45</v>
      </c>
    </row>
    <row r="12" customFormat="false" ht="15" hidden="false" customHeight="false" outlineLevel="0" collapsed="false">
      <c r="A12" s="2" t="s">
        <v>8</v>
      </c>
    </row>
    <row r="13" customFormat="false" ht="15" hidden="false" customHeight="false" outlineLevel="0" collapsed="false">
      <c r="A13" s="7" t="s">
        <v>9</v>
      </c>
      <c r="B13" s="7" t="s">
        <v>10</v>
      </c>
      <c r="C13" s="7" t="s">
        <v>11</v>
      </c>
    </row>
    <row r="14" customFormat="false" ht="15" hidden="false" customHeight="false" outlineLevel="0" collapsed="false">
      <c r="A14" s="8" t="s">
        <v>12</v>
      </c>
      <c r="B14" s="9" t="n">
        <v>280</v>
      </c>
      <c r="C14" s="10" t="n">
        <f aca="false">B14*$B$9</f>
        <v>126</v>
      </c>
    </row>
    <row r="15" customFormat="false" ht="15" hidden="false" customHeight="false" outlineLevel="0" collapsed="false">
      <c r="A15" s="8" t="s">
        <v>13</v>
      </c>
      <c r="B15" s="9" t="n">
        <v>106</v>
      </c>
      <c r="C15" s="10" t="n">
        <f aca="false">B15*$B$9</f>
        <v>47.7</v>
      </c>
    </row>
    <row r="16" customFormat="false" ht="15" hidden="false" customHeight="false" outlineLevel="0" collapsed="false">
      <c r="A16" s="8" t="s">
        <v>14</v>
      </c>
      <c r="B16" s="9" t="n">
        <v>157</v>
      </c>
      <c r="C16" s="10" t="n">
        <f aca="false">B16*$B$9</f>
        <v>70.65</v>
      </c>
    </row>
    <row r="17" customFormat="false" ht="15" hidden="false" customHeight="false" outlineLevel="0" collapsed="false">
      <c r="A17" s="8" t="s">
        <v>15</v>
      </c>
      <c r="B17" s="9" t="n">
        <v>158</v>
      </c>
      <c r="C17" s="10" t="n">
        <f aca="false">B17*$B$9</f>
        <v>71.1</v>
      </c>
    </row>
    <row r="18" customFormat="false" ht="15" hidden="false" customHeight="false" outlineLevel="0" collapsed="false">
      <c r="A18" s="8" t="s">
        <v>16</v>
      </c>
      <c r="B18" s="9" t="n">
        <v>120</v>
      </c>
      <c r="C18" s="10" t="n">
        <f aca="false">B18*$B$9</f>
        <v>54</v>
      </c>
    </row>
    <row r="19" customFormat="false" ht="15" hidden="false" customHeight="false" outlineLevel="0" collapsed="false">
      <c r="A19" s="8" t="s">
        <v>17</v>
      </c>
      <c r="B19" s="9" t="n">
        <v>128</v>
      </c>
      <c r="C19" s="10" t="n">
        <f aca="false">B19*$B$9</f>
        <v>57.6</v>
      </c>
    </row>
    <row r="20" customFormat="false" ht="15" hidden="false" customHeight="false" outlineLevel="0" collapsed="false">
      <c r="A20" s="8" t="s">
        <v>18</v>
      </c>
      <c r="B20" s="9" t="n">
        <v>190</v>
      </c>
      <c r="C20" s="10" t="n">
        <f aca="false">B20*$B$9</f>
        <v>85.5</v>
      </c>
    </row>
    <row r="21" customFormat="false" ht="15" hidden="false" customHeight="false" outlineLevel="0" collapsed="false">
      <c r="A21" s="8" t="s">
        <v>19</v>
      </c>
      <c r="B21" s="9" t="n">
        <v>120</v>
      </c>
      <c r="C21" s="10" t="n">
        <f aca="false">B21*$B$9</f>
        <v>54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8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4"/>
    <col collapsed="false" customWidth="true" hidden="false" outlineLevel="0" max="3" min="3" style="0" width="26"/>
    <col collapsed="false" customWidth="true" hidden="false" outlineLevel="0" max="4" min="4" style="0" width="12"/>
    <col collapsed="false" customWidth="true" hidden="false" outlineLevel="0" max="9" min="5" style="0" width="10"/>
    <col collapsed="false" customWidth="true" hidden="false" outlineLevel="0" max="10" min="10" style="0" width="12"/>
    <col collapsed="false" customWidth="true" hidden="false" outlineLevel="0" max="11" min="11" style="0" width="10"/>
    <col collapsed="false" customWidth="true" hidden="false" outlineLevel="0" max="12" min="12" style="0" width="8"/>
    <col collapsed="false" customWidth="true" hidden="false" outlineLevel="0" max="14" min="13" style="0" width="10"/>
    <col collapsed="false" customWidth="true" hidden="false" outlineLevel="0" max="15" min="15" style="0" width="11"/>
    <col collapsed="false" customWidth="true" hidden="false" outlineLevel="0" max="16" min="16" style="0" width="14"/>
  </cols>
  <sheetData>
    <row r="1" customFormat="false" ht="19.7" hidden="false" customHeight="false" outlineLevel="0" collapsed="false">
      <c r="A1" s="1" t="s">
        <v>20</v>
      </c>
    </row>
    <row r="2" customFormat="false" ht="15" hidden="false" customHeight="false" outlineLevel="0" collapsed="false">
      <c r="A2" s="11" t="s">
        <v>21</v>
      </c>
    </row>
    <row r="4" customFormat="false" ht="23.85" hidden="false" customHeight="false" outlineLevel="0" collapsed="false">
      <c r="A4" s="7" t="s">
        <v>9</v>
      </c>
      <c r="B4" s="7" t="s">
        <v>22</v>
      </c>
      <c r="C4" s="7" t="s">
        <v>23</v>
      </c>
      <c r="D4" s="7" t="s">
        <v>24</v>
      </c>
      <c r="E4" s="7" t="s">
        <v>25</v>
      </c>
      <c r="F4" s="7" t="s">
        <v>26</v>
      </c>
      <c r="G4" s="7" t="s">
        <v>27</v>
      </c>
      <c r="H4" s="7" t="s">
        <v>28</v>
      </c>
      <c r="I4" s="7" t="s">
        <v>29</v>
      </c>
      <c r="J4" s="7" t="s">
        <v>30</v>
      </c>
      <c r="K4" s="7" t="s">
        <v>31</v>
      </c>
      <c r="L4" s="7" t="s">
        <v>10</v>
      </c>
      <c r="M4" s="7" t="s">
        <v>11</v>
      </c>
      <c r="N4" s="7" t="s">
        <v>32</v>
      </c>
      <c r="O4" s="7" t="s">
        <v>33</v>
      </c>
      <c r="P4" s="7" t="s">
        <v>34</v>
      </c>
    </row>
    <row r="5" customFormat="false" ht="15" hidden="false" customHeight="false" outlineLevel="0" collapsed="false">
      <c r="A5" s="8" t="s">
        <v>12</v>
      </c>
      <c r="B5" s="8" t="s">
        <v>35</v>
      </c>
      <c r="C5" s="8" t="s">
        <v>36</v>
      </c>
      <c r="D5" s="12" t="n">
        <v>260</v>
      </c>
      <c r="E5" s="8" t="s">
        <v>37</v>
      </c>
      <c r="F5" s="13" t="n">
        <v>0.07</v>
      </c>
      <c r="G5" s="13" t="n">
        <v>0.66</v>
      </c>
      <c r="H5" s="14" t="n">
        <f aca="false">(F5+G5)/2</f>
        <v>0.365</v>
      </c>
      <c r="I5" s="15" t="n">
        <f aca="false">ROUND(Assumptions!$B$4/H5,0)</f>
        <v>1370</v>
      </c>
      <c r="J5" s="16" t="n">
        <f aca="false">ROUND(I5*Assumptions!$B$7,2)</f>
        <v>34.04</v>
      </c>
      <c r="K5" s="10" t="n">
        <f aca="false">IF(J5&gt;0,ROUND(Assumptions!$B$4/J5,0),9999)</f>
        <v>15</v>
      </c>
      <c r="L5" s="9" t="n">
        <v>280</v>
      </c>
      <c r="M5" s="10" t="n">
        <f aca="false">L5*Assumptions!$B$9</f>
        <v>126</v>
      </c>
      <c r="N5" s="17" t="str">
        <f aca="false">IF(K5&lt;=Assumptions!$B$8,"YES ✓",IF(K5&lt;=M5,"TEST","NO ✗"))</f>
        <v>YES ✓</v>
      </c>
      <c r="O5" s="8" t="s">
        <v>38</v>
      </c>
      <c r="P5" s="17" t="str">
        <f aca="false">IF(N5="YES ✓",IF(O5="English OK","🟢 LAUNCH","🟡 LAUNCH+LOC"),IF(N5="TEST",IF(O5="English OK","🟡 TEST","🟠 TEST+LOC"),"🔴 SKIP"))</f>
        <v>🟢 LAUNCH</v>
      </c>
    </row>
    <row r="6" customFormat="false" ht="15" hidden="false" customHeight="false" outlineLevel="0" collapsed="false">
      <c r="A6" s="8" t="s">
        <v>12</v>
      </c>
      <c r="B6" s="8" t="s">
        <v>35</v>
      </c>
      <c r="C6" s="8" t="s">
        <v>39</v>
      </c>
      <c r="D6" s="12" t="n">
        <v>210</v>
      </c>
      <c r="E6" s="8" t="s">
        <v>40</v>
      </c>
      <c r="F6" s="13" t="n">
        <v>0.22</v>
      </c>
      <c r="G6" s="13" t="n">
        <v>8.27</v>
      </c>
      <c r="H6" s="14" t="n">
        <f aca="false">(F6+G6)/2</f>
        <v>4.245</v>
      </c>
      <c r="I6" s="15" t="n">
        <f aca="false">ROUND(Assumptions!$B$4/H6,0)</f>
        <v>118</v>
      </c>
      <c r="J6" s="16" t="n">
        <f aca="false">ROUND(I6*Assumptions!$B$7,2)</f>
        <v>2.93</v>
      </c>
      <c r="K6" s="10" t="n">
        <f aca="false">IF(J6&gt;0,ROUND(Assumptions!$B$4/J6,0),9999)</f>
        <v>171</v>
      </c>
      <c r="L6" s="9" t="n">
        <v>280</v>
      </c>
      <c r="M6" s="10" t="n">
        <f aca="false">L6*Assumptions!$B$9</f>
        <v>126</v>
      </c>
      <c r="N6" s="17" t="str">
        <f aca="false">IF(K6&lt;=Assumptions!$B$8,"YES ✓",IF(K6&lt;=M6,"TEST","NO ✗"))</f>
        <v>NO ✗</v>
      </c>
      <c r="O6" s="8" t="s">
        <v>38</v>
      </c>
      <c r="P6" s="17" t="str">
        <f aca="false">IF(N6="YES ✓",IF(O6="English OK","🟢 LAUNCH","🟡 LAUNCH+LOC"),IF(N6="TEST",IF(O6="English OK","🟡 TEST","🟠 TEST+LOC"),"🔴 SKIP"))</f>
        <v>🔴 SKIP</v>
      </c>
    </row>
    <row r="7" customFormat="false" ht="15" hidden="false" customHeight="false" outlineLevel="0" collapsed="false">
      <c r="A7" s="8" t="s">
        <v>12</v>
      </c>
      <c r="B7" s="8" t="s">
        <v>35</v>
      </c>
      <c r="C7" s="8" t="s">
        <v>41</v>
      </c>
      <c r="D7" s="12" t="n">
        <v>70</v>
      </c>
      <c r="E7" s="8" t="s">
        <v>37</v>
      </c>
      <c r="F7" s="13" t="n">
        <v>0.12</v>
      </c>
      <c r="G7" s="13" t="n">
        <v>0.89</v>
      </c>
      <c r="H7" s="14" t="n">
        <f aca="false">(F7+G7)/2</f>
        <v>0.505</v>
      </c>
      <c r="I7" s="15" t="n">
        <f aca="false">ROUND(Assumptions!$B$4/H7,0)</f>
        <v>990</v>
      </c>
      <c r="J7" s="16" t="n">
        <f aca="false">ROUND(I7*Assumptions!$B$7,2)</f>
        <v>24.6</v>
      </c>
      <c r="K7" s="10" t="n">
        <f aca="false">IF(J7&gt;0,ROUND(Assumptions!$B$4/J7,0),9999)</f>
        <v>20</v>
      </c>
      <c r="L7" s="9" t="n">
        <v>280</v>
      </c>
      <c r="M7" s="10" t="n">
        <f aca="false">L7*Assumptions!$B$9</f>
        <v>126</v>
      </c>
      <c r="N7" s="17" t="str">
        <f aca="false">IF(K7&lt;=Assumptions!$B$8,"YES ✓",IF(K7&lt;=M7,"TEST","NO ✗"))</f>
        <v>YES ✓</v>
      </c>
      <c r="O7" s="8" t="s">
        <v>38</v>
      </c>
      <c r="P7" s="17" t="str">
        <f aca="false">IF(N7="YES ✓",IF(O7="English OK","🟢 LAUNCH","🟡 LAUNCH+LOC"),IF(N7="TEST",IF(O7="English OK","🟡 TEST","🟠 TEST+LOC"),"🔴 SKIP"))</f>
        <v>🟢 LAUNCH</v>
      </c>
    </row>
    <row r="8" customFormat="false" ht="15" hidden="false" customHeight="false" outlineLevel="0" collapsed="false">
      <c r="A8" s="8" t="s">
        <v>12</v>
      </c>
      <c r="B8" s="8" t="s">
        <v>35</v>
      </c>
      <c r="C8" s="8" t="s">
        <v>42</v>
      </c>
      <c r="D8" s="12" t="n">
        <v>50</v>
      </c>
      <c r="E8" s="8" t="s">
        <v>37</v>
      </c>
      <c r="F8" s="13" t="n">
        <v>0.1</v>
      </c>
      <c r="G8" s="13" t="n">
        <v>0.72</v>
      </c>
      <c r="H8" s="14" t="n">
        <f aca="false">(F8+G8)/2</f>
        <v>0.41</v>
      </c>
      <c r="I8" s="15" t="n">
        <f aca="false">ROUND(Assumptions!$B$4/H8,0)</f>
        <v>1220</v>
      </c>
      <c r="J8" s="16" t="n">
        <f aca="false">ROUND(I8*Assumptions!$B$7,2)</f>
        <v>30.32</v>
      </c>
      <c r="K8" s="10" t="n">
        <f aca="false">IF(J8&gt;0,ROUND(Assumptions!$B$4/J8,0),9999)</f>
        <v>16</v>
      </c>
      <c r="L8" s="9" t="n">
        <v>280</v>
      </c>
      <c r="M8" s="10" t="n">
        <f aca="false">L8*Assumptions!$B$9</f>
        <v>126</v>
      </c>
      <c r="N8" s="17" t="str">
        <f aca="false">IF(K8&lt;=Assumptions!$B$8,"YES ✓",IF(K8&lt;=M8,"TEST","NO ✗"))</f>
        <v>YES ✓</v>
      </c>
      <c r="O8" s="8" t="s">
        <v>38</v>
      </c>
      <c r="P8" s="17" t="str">
        <f aca="false">IF(N8="YES ✓",IF(O8="English OK","🟢 LAUNCH","🟡 LAUNCH+LOC"),IF(N8="TEST",IF(O8="English OK","🟡 TEST","🟠 TEST+LOC"),"🔴 SKIP"))</f>
        <v>🟢 LAUNCH</v>
      </c>
    </row>
    <row r="9" customFormat="false" ht="15" hidden="false" customHeight="false" outlineLevel="0" collapsed="false">
      <c r="A9" s="8" t="s">
        <v>12</v>
      </c>
      <c r="B9" s="8" t="s">
        <v>35</v>
      </c>
      <c r="C9" s="8" t="s">
        <v>43</v>
      </c>
      <c r="D9" s="12" t="n">
        <v>30</v>
      </c>
      <c r="E9" s="8" t="s">
        <v>37</v>
      </c>
      <c r="F9" s="13" t="n">
        <v>0.08</v>
      </c>
      <c r="G9" s="13" t="n">
        <v>0.55</v>
      </c>
      <c r="H9" s="14" t="n">
        <f aca="false">(F9+G9)/2</f>
        <v>0.315</v>
      </c>
      <c r="I9" s="15" t="n">
        <f aca="false">ROUND(Assumptions!$B$4/H9,0)</f>
        <v>1587</v>
      </c>
      <c r="J9" s="16" t="n">
        <f aca="false">ROUND(I9*Assumptions!$B$7,2)</f>
        <v>39.44</v>
      </c>
      <c r="K9" s="10" t="n">
        <f aca="false">IF(J9&gt;0,ROUND(Assumptions!$B$4/J9,0),9999)</f>
        <v>13</v>
      </c>
      <c r="L9" s="9" t="n">
        <v>280</v>
      </c>
      <c r="M9" s="10" t="n">
        <f aca="false">L9*Assumptions!$B$9</f>
        <v>126</v>
      </c>
      <c r="N9" s="17" t="str">
        <f aca="false">IF(K9&lt;=Assumptions!$B$8,"YES ✓",IF(K9&lt;=M9,"TEST","NO ✗"))</f>
        <v>YES ✓</v>
      </c>
      <c r="O9" s="8" t="s">
        <v>38</v>
      </c>
      <c r="P9" s="17" t="str">
        <f aca="false">IF(N9="YES ✓",IF(O9="English OK","🟢 LAUNCH","🟡 LAUNCH+LOC"),IF(N9="TEST",IF(O9="English OK","🟡 TEST","🟠 TEST+LOC"),"🔴 SKIP"))</f>
        <v>🟢 LAUNCH</v>
      </c>
    </row>
    <row r="10" customFormat="false" ht="15" hidden="false" customHeight="false" outlineLevel="0" collapsed="false">
      <c r="A10" s="8" t="s">
        <v>12</v>
      </c>
      <c r="B10" s="8" t="s">
        <v>35</v>
      </c>
      <c r="C10" s="8" t="s">
        <v>44</v>
      </c>
      <c r="D10" s="12" t="n">
        <v>20</v>
      </c>
      <c r="E10" s="8" t="s">
        <v>37</v>
      </c>
      <c r="F10" s="13" t="n">
        <v>0.09</v>
      </c>
      <c r="G10" s="13" t="n">
        <v>0.65</v>
      </c>
      <c r="H10" s="14" t="n">
        <f aca="false">(F10+G10)/2</f>
        <v>0.37</v>
      </c>
      <c r="I10" s="15" t="n">
        <f aca="false">ROUND(Assumptions!$B$4/H10,0)</f>
        <v>1351</v>
      </c>
      <c r="J10" s="16" t="n">
        <f aca="false">ROUND(I10*Assumptions!$B$7,2)</f>
        <v>33.57</v>
      </c>
      <c r="K10" s="10" t="n">
        <f aca="false">IF(J10&gt;0,ROUND(Assumptions!$B$4/J10,0),9999)</f>
        <v>15</v>
      </c>
      <c r="L10" s="9" t="n">
        <v>280</v>
      </c>
      <c r="M10" s="10" t="n">
        <f aca="false">L10*Assumptions!$B$9</f>
        <v>126</v>
      </c>
      <c r="N10" s="17" t="str">
        <f aca="false">IF(K10&lt;=Assumptions!$B$8,"YES ✓",IF(K10&lt;=M10,"TEST","NO ✗"))</f>
        <v>YES ✓</v>
      </c>
      <c r="O10" s="8" t="s">
        <v>38</v>
      </c>
      <c r="P10" s="17" t="str">
        <f aca="false">IF(N10="YES ✓",IF(O10="English OK","🟢 LAUNCH","🟡 LAUNCH+LOC"),IF(N10="TEST",IF(O10="English OK","🟡 TEST","🟠 TEST+LOC"),"🔴 SKIP"))</f>
        <v>🟢 LAUNCH</v>
      </c>
    </row>
    <row r="11" customFormat="false" ht="15" hidden="false" customHeight="false" outlineLevel="0" collapsed="false">
      <c r="A11" s="8" t="s">
        <v>12</v>
      </c>
      <c r="B11" s="8" t="s">
        <v>45</v>
      </c>
      <c r="C11" s="8" t="s">
        <v>36</v>
      </c>
      <c r="D11" s="12" t="n">
        <v>260</v>
      </c>
      <c r="E11" s="8" t="s">
        <v>37</v>
      </c>
      <c r="F11" s="13" t="n">
        <v>0.04</v>
      </c>
      <c r="G11" s="13" t="n">
        <v>0.36</v>
      </c>
      <c r="H11" s="14" t="n">
        <f aca="false">(F11+G11)/2</f>
        <v>0.2</v>
      </c>
      <c r="I11" s="15" t="n">
        <f aca="false">ROUND(Assumptions!$B$4/H11,0)</f>
        <v>2500</v>
      </c>
      <c r="J11" s="16" t="n">
        <f aca="false">ROUND(I11*Assumptions!$B$7,2)</f>
        <v>62.13</v>
      </c>
      <c r="K11" s="10" t="n">
        <f aca="false">IF(J11&gt;0,ROUND(Assumptions!$B$4/J11,0),9999)</f>
        <v>8</v>
      </c>
      <c r="L11" s="9" t="n">
        <v>280</v>
      </c>
      <c r="M11" s="10" t="n">
        <f aca="false">L11*Assumptions!$B$9</f>
        <v>126</v>
      </c>
      <c r="N11" s="17" t="str">
        <f aca="false">IF(K11&lt;=Assumptions!$B$8,"YES ✓",IF(K11&lt;=M11,"TEST","NO ✗"))</f>
        <v>YES ✓</v>
      </c>
      <c r="O11" s="8" t="s">
        <v>38</v>
      </c>
      <c r="P11" s="17" t="str">
        <f aca="false">IF(N11="YES ✓",IF(O11="English OK","🟢 LAUNCH","🟡 LAUNCH+LOC"),IF(N11="TEST",IF(O11="English OK","🟡 TEST","🟠 TEST+LOC"),"🔴 SKIP"))</f>
        <v>🟢 LAUNCH</v>
      </c>
    </row>
    <row r="12" customFormat="false" ht="15" hidden="false" customHeight="false" outlineLevel="0" collapsed="false">
      <c r="A12" s="8" t="s">
        <v>12</v>
      </c>
      <c r="B12" s="8" t="s">
        <v>45</v>
      </c>
      <c r="C12" s="8" t="s">
        <v>41</v>
      </c>
      <c r="D12" s="12" t="n">
        <v>70</v>
      </c>
      <c r="E12" s="8" t="s">
        <v>37</v>
      </c>
      <c r="F12" s="13" t="n">
        <v>0.14</v>
      </c>
      <c r="G12" s="13" t="n">
        <v>0.85</v>
      </c>
      <c r="H12" s="14" t="n">
        <f aca="false">(F12+G12)/2</f>
        <v>0.495</v>
      </c>
      <c r="I12" s="15" t="n">
        <f aca="false">ROUND(Assumptions!$B$4/H12,0)</f>
        <v>1010</v>
      </c>
      <c r="J12" s="16" t="n">
        <f aca="false">ROUND(I12*Assumptions!$B$7,2)</f>
        <v>25.1</v>
      </c>
      <c r="K12" s="10" t="n">
        <f aca="false">IF(J12&gt;0,ROUND(Assumptions!$B$4/J12,0),9999)</f>
        <v>20</v>
      </c>
      <c r="L12" s="9" t="n">
        <v>280</v>
      </c>
      <c r="M12" s="10" t="n">
        <f aca="false">L12*Assumptions!$B$9</f>
        <v>126</v>
      </c>
      <c r="N12" s="17" t="str">
        <f aca="false">IF(K12&lt;=Assumptions!$B$8,"YES ✓",IF(K12&lt;=M12,"TEST","NO ✗"))</f>
        <v>YES ✓</v>
      </c>
      <c r="O12" s="8" t="s">
        <v>38</v>
      </c>
      <c r="P12" s="17" t="str">
        <f aca="false">IF(N12="YES ✓",IF(O12="English OK","🟢 LAUNCH","🟡 LAUNCH+LOC"),IF(N12="TEST",IF(O12="English OK","🟡 TEST","🟠 TEST+LOC"),"🔴 SKIP"))</f>
        <v>🟢 LAUNCH</v>
      </c>
    </row>
    <row r="13" customFormat="false" ht="15" hidden="false" customHeight="false" outlineLevel="0" collapsed="false">
      <c r="A13" s="8" t="s">
        <v>12</v>
      </c>
      <c r="B13" s="8" t="s">
        <v>45</v>
      </c>
      <c r="C13" s="8" t="s">
        <v>46</v>
      </c>
      <c r="D13" s="12" t="n">
        <v>880</v>
      </c>
      <c r="E13" s="8" t="s">
        <v>37</v>
      </c>
      <c r="F13" s="13" t="n">
        <v>0.03</v>
      </c>
      <c r="G13" s="13" t="n">
        <v>0.42</v>
      </c>
      <c r="H13" s="14" t="n">
        <f aca="false">(F13+G13)/2</f>
        <v>0.225</v>
      </c>
      <c r="I13" s="15" t="n">
        <f aca="false">ROUND(Assumptions!$B$4/H13,0)</f>
        <v>2222</v>
      </c>
      <c r="J13" s="16" t="n">
        <f aca="false">ROUND(I13*Assumptions!$B$7,2)</f>
        <v>55.22</v>
      </c>
      <c r="K13" s="10" t="n">
        <f aca="false">IF(J13&gt;0,ROUND(Assumptions!$B$4/J13,0),9999)</f>
        <v>9</v>
      </c>
      <c r="L13" s="9" t="n">
        <v>280</v>
      </c>
      <c r="M13" s="10" t="n">
        <f aca="false">L13*Assumptions!$B$9</f>
        <v>126</v>
      </c>
      <c r="N13" s="17" t="str">
        <f aca="false">IF(K13&lt;=Assumptions!$B$8,"YES ✓",IF(K13&lt;=M13,"TEST","NO ✗"))</f>
        <v>YES ✓</v>
      </c>
      <c r="O13" s="8" t="s">
        <v>38</v>
      </c>
      <c r="P13" s="17" t="str">
        <f aca="false">IF(N13="YES ✓",IF(O13="English OK","🟢 LAUNCH","🟡 LAUNCH+LOC"),IF(N13="TEST",IF(O13="English OK","🟡 TEST","🟠 TEST+LOC"),"🔴 SKIP"))</f>
        <v>🟢 LAUNCH</v>
      </c>
    </row>
    <row r="14" customFormat="false" ht="15" hidden="false" customHeight="false" outlineLevel="0" collapsed="false">
      <c r="A14" s="8" t="s">
        <v>12</v>
      </c>
      <c r="B14" s="8" t="s">
        <v>45</v>
      </c>
      <c r="C14" s="8" t="s">
        <v>42</v>
      </c>
      <c r="D14" s="12" t="n">
        <v>30</v>
      </c>
      <c r="E14" s="8" t="s">
        <v>37</v>
      </c>
      <c r="F14" s="13" t="n">
        <v>0.08</v>
      </c>
      <c r="G14" s="13" t="n">
        <v>0.58</v>
      </c>
      <c r="H14" s="14" t="n">
        <f aca="false">(F14+G14)/2</f>
        <v>0.33</v>
      </c>
      <c r="I14" s="15" t="n">
        <f aca="false">ROUND(Assumptions!$B$4/H14,0)</f>
        <v>1515</v>
      </c>
      <c r="J14" s="16" t="n">
        <f aca="false">ROUND(I14*Assumptions!$B$7,2)</f>
        <v>37.65</v>
      </c>
      <c r="K14" s="10" t="n">
        <f aca="false">IF(J14&gt;0,ROUND(Assumptions!$B$4/J14,0),9999)</f>
        <v>13</v>
      </c>
      <c r="L14" s="9" t="n">
        <v>280</v>
      </c>
      <c r="M14" s="10" t="n">
        <f aca="false">L14*Assumptions!$B$9</f>
        <v>126</v>
      </c>
      <c r="N14" s="17" t="str">
        <f aca="false">IF(K14&lt;=Assumptions!$B$8,"YES ✓",IF(K14&lt;=M14,"TEST","NO ✗"))</f>
        <v>YES ✓</v>
      </c>
      <c r="O14" s="8" t="s">
        <v>38</v>
      </c>
      <c r="P14" s="17" t="str">
        <f aca="false">IF(N14="YES ✓",IF(O14="English OK","🟢 LAUNCH","🟡 LAUNCH+LOC"),IF(N14="TEST",IF(O14="English OK","🟡 TEST","🟠 TEST+LOC"),"🔴 SKIP"))</f>
        <v>🟢 LAUNCH</v>
      </c>
    </row>
    <row r="15" customFormat="false" ht="15" hidden="false" customHeight="false" outlineLevel="0" collapsed="false">
      <c r="A15" s="8" t="s">
        <v>12</v>
      </c>
      <c r="B15" s="8" t="s">
        <v>45</v>
      </c>
      <c r="C15" s="8" t="s">
        <v>43</v>
      </c>
      <c r="D15" s="12" t="n">
        <v>20</v>
      </c>
      <c r="E15" s="8" t="s">
        <v>37</v>
      </c>
      <c r="F15" s="13" t="n">
        <v>0.06</v>
      </c>
      <c r="G15" s="13" t="n">
        <v>0.42</v>
      </c>
      <c r="H15" s="14" t="n">
        <f aca="false">(F15+G15)/2</f>
        <v>0.24</v>
      </c>
      <c r="I15" s="15" t="n">
        <f aca="false">ROUND(Assumptions!$B$4/H15,0)</f>
        <v>2083</v>
      </c>
      <c r="J15" s="16" t="n">
        <f aca="false">ROUND(I15*Assumptions!$B$7,2)</f>
        <v>51.76</v>
      </c>
      <c r="K15" s="10" t="n">
        <f aca="false">IF(J15&gt;0,ROUND(Assumptions!$B$4/J15,0),9999)</f>
        <v>10</v>
      </c>
      <c r="L15" s="9" t="n">
        <v>280</v>
      </c>
      <c r="M15" s="10" t="n">
        <f aca="false">L15*Assumptions!$B$9</f>
        <v>126</v>
      </c>
      <c r="N15" s="17" t="str">
        <f aca="false">IF(K15&lt;=Assumptions!$B$8,"YES ✓",IF(K15&lt;=M15,"TEST","NO ✗"))</f>
        <v>YES ✓</v>
      </c>
      <c r="O15" s="8" t="s">
        <v>38</v>
      </c>
      <c r="P15" s="17" t="str">
        <f aca="false">IF(N15="YES ✓",IF(O15="English OK","🟢 LAUNCH","🟡 LAUNCH+LOC"),IF(N15="TEST",IF(O15="English OK","🟡 TEST","🟠 TEST+LOC"),"🔴 SKIP"))</f>
        <v>🟢 LAUNCH</v>
      </c>
    </row>
    <row r="16" customFormat="false" ht="15" hidden="false" customHeight="false" outlineLevel="0" collapsed="false">
      <c r="A16" s="8" t="s">
        <v>12</v>
      </c>
      <c r="B16" s="8" t="s">
        <v>47</v>
      </c>
      <c r="C16" s="8" t="s">
        <v>36</v>
      </c>
      <c r="D16" s="12" t="n">
        <v>110</v>
      </c>
      <c r="E16" s="8" t="s">
        <v>48</v>
      </c>
      <c r="F16" s="13" t="n">
        <v>0.03</v>
      </c>
      <c r="G16" s="13" t="n">
        <v>0.52</v>
      </c>
      <c r="H16" s="14" t="n">
        <f aca="false">(F16+G16)/2</f>
        <v>0.275</v>
      </c>
      <c r="I16" s="15" t="n">
        <f aca="false">ROUND(Assumptions!$B$4/H16,0)</f>
        <v>1818</v>
      </c>
      <c r="J16" s="16" t="n">
        <f aca="false">ROUND(I16*Assumptions!$B$7,2)</f>
        <v>45.18</v>
      </c>
      <c r="K16" s="10" t="n">
        <f aca="false">IF(J16&gt;0,ROUND(Assumptions!$B$4/J16,0),9999)</f>
        <v>11</v>
      </c>
      <c r="L16" s="9" t="n">
        <v>280</v>
      </c>
      <c r="M16" s="10" t="n">
        <f aca="false">L16*Assumptions!$B$9</f>
        <v>126</v>
      </c>
      <c r="N16" s="17" t="str">
        <f aca="false">IF(K16&lt;=Assumptions!$B$8,"YES ✓",IF(K16&lt;=M16,"TEST","NO ✗"))</f>
        <v>YES ✓</v>
      </c>
      <c r="O16" s="8" t="s">
        <v>49</v>
      </c>
      <c r="P16" s="17" t="str">
        <f aca="false">IF(N16="YES ✓",IF(O16="English OK","🟢 LAUNCH","🟡 LAUNCH+LOC"),IF(N16="TEST",IF(O16="English OK","🟡 TEST","🟠 TEST+LOC"),"🔴 SKIP"))</f>
        <v>🟡 LAUNCH+LOC</v>
      </c>
    </row>
    <row r="17" customFormat="false" ht="15" hidden="false" customHeight="false" outlineLevel="0" collapsed="false">
      <c r="A17" s="8" t="s">
        <v>12</v>
      </c>
      <c r="B17" s="8" t="s">
        <v>47</v>
      </c>
      <c r="C17" s="8" t="s">
        <v>41</v>
      </c>
      <c r="D17" s="12" t="n">
        <v>40</v>
      </c>
      <c r="E17" s="8" t="s">
        <v>50</v>
      </c>
      <c r="F17" s="13" t="n">
        <v>0.28</v>
      </c>
      <c r="G17" s="13" t="n">
        <v>0.96</v>
      </c>
      <c r="H17" s="14" t="n">
        <f aca="false">(F17+G17)/2</f>
        <v>0.62</v>
      </c>
      <c r="I17" s="15" t="n">
        <f aca="false">ROUND(Assumptions!$B$4/H17,0)</f>
        <v>806</v>
      </c>
      <c r="J17" s="16" t="n">
        <f aca="false">ROUND(I17*Assumptions!$B$7,2)</f>
        <v>20.03</v>
      </c>
      <c r="K17" s="10" t="n">
        <f aca="false">IF(J17&gt;0,ROUND(Assumptions!$B$4/J17,0),9999)</f>
        <v>25</v>
      </c>
      <c r="L17" s="9" t="n">
        <v>280</v>
      </c>
      <c r="M17" s="10" t="n">
        <f aca="false">L17*Assumptions!$B$9</f>
        <v>126</v>
      </c>
      <c r="N17" s="17" t="str">
        <f aca="false">IF(K17&lt;=Assumptions!$B$8,"YES ✓",IF(K17&lt;=M17,"TEST","NO ✗"))</f>
        <v>YES ✓</v>
      </c>
      <c r="O17" s="8" t="s">
        <v>49</v>
      </c>
      <c r="P17" s="17" t="str">
        <f aca="false">IF(N17="YES ✓",IF(O17="English OK","🟢 LAUNCH","🟡 LAUNCH+LOC"),IF(N17="TEST",IF(O17="English OK","🟡 TEST","🟠 TEST+LOC"),"🔴 SKIP"))</f>
        <v>🟡 LAUNCH+LOC</v>
      </c>
    </row>
    <row r="18" customFormat="false" ht="15" hidden="false" customHeight="false" outlineLevel="0" collapsed="false">
      <c r="A18" s="8" t="s">
        <v>12</v>
      </c>
      <c r="B18" s="8" t="s">
        <v>47</v>
      </c>
      <c r="C18" s="8" t="s">
        <v>39</v>
      </c>
      <c r="D18" s="12" t="n">
        <v>20</v>
      </c>
      <c r="E18" s="8" t="s">
        <v>51</v>
      </c>
      <c r="F18" s="13" t="n">
        <v>0.25</v>
      </c>
      <c r="G18" s="13" t="n">
        <v>1.8</v>
      </c>
      <c r="H18" s="14" t="n">
        <f aca="false">(F18+G18)/2</f>
        <v>1.025</v>
      </c>
      <c r="I18" s="15" t="n">
        <f aca="false">ROUND(Assumptions!$B$4/H18,0)</f>
        <v>488</v>
      </c>
      <c r="J18" s="16" t="n">
        <f aca="false">ROUND(I18*Assumptions!$B$7,2)</f>
        <v>12.13</v>
      </c>
      <c r="K18" s="10" t="n">
        <f aca="false">IF(J18&gt;0,ROUND(Assumptions!$B$4/J18,0),9999)</f>
        <v>41</v>
      </c>
      <c r="L18" s="9" t="n">
        <v>280</v>
      </c>
      <c r="M18" s="10" t="n">
        <f aca="false">L18*Assumptions!$B$9</f>
        <v>126</v>
      </c>
      <c r="N18" s="17" t="str">
        <f aca="false">IF(K18&lt;=Assumptions!$B$8,"YES ✓",IF(K18&lt;=M18,"TEST","NO ✗"))</f>
        <v>YES ✓</v>
      </c>
      <c r="O18" s="8" t="s">
        <v>49</v>
      </c>
      <c r="P18" s="17" t="str">
        <f aca="false">IF(N18="YES ✓",IF(O18="English OK","🟢 LAUNCH","🟡 LAUNCH+LOC"),IF(N18="TEST",IF(O18="English OK","🟡 TEST","🟠 TEST+LOC"),"🔴 SKIP"))</f>
        <v>🟡 LAUNCH+LOC</v>
      </c>
    </row>
    <row r="19" customFormat="false" ht="15" hidden="false" customHeight="false" outlineLevel="0" collapsed="false">
      <c r="A19" s="8" t="s">
        <v>12</v>
      </c>
      <c r="B19" s="8" t="s">
        <v>47</v>
      </c>
      <c r="C19" s="8" t="s">
        <v>46</v>
      </c>
      <c r="D19" s="12" t="n">
        <v>390</v>
      </c>
      <c r="E19" s="8" t="s">
        <v>52</v>
      </c>
      <c r="F19" s="13" t="n">
        <v>0.15</v>
      </c>
      <c r="G19" s="13" t="n">
        <v>0.51</v>
      </c>
      <c r="H19" s="14" t="n">
        <f aca="false">(F19+G19)/2</f>
        <v>0.33</v>
      </c>
      <c r="I19" s="15" t="n">
        <f aca="false">ROUND(Assumptions!$B$4/H19,0)</f>
        <v>1515</v>
      </c>
      <c r="J19" s="16" t="n">
        <f aca="false">ROUND(I19*Assumptions!$B$7,2)</f>
        <v>37.65</v>
      </c>
      <c r="K19" s="10" t="n">
        <f aca="false">IF(J19&gt;0,ROUND(Assumptions!$B$4/J19,0),9999)</f>
        <v>13</v>
      </c>
      <c r="L19" s="9" t="n">
        <v>280</v>
      </c>
      <c r="M19" s="10" t="n">
        <f aca="false">L19*Assumptions!$B$9</f>
        <v>126</v>
      </c>
      <c r="N19" s="17" t="str">
        <f aca="false">IF(K19&lt;=Assumptions!$B$8,"YES ✓",IF(K19&lt;=M19,"TEST","NO ✗"))</f>
        <v>YES ✓</v>
      </c>
      <c r="O19" s="8" t="s">
        <v>49</v>
      </c>
      <c r="P19" s="17" t="str">
        <f aca="false">IF(N19="YES ✓",IF(O19="English OK","🟢 LAUNCH","🟡 LAUNCH+LOC"),IF(N19="TEST",IF(O19="English OK","🟡 TEST","🟠 TEST+LOC"),"🔴 SKIP"))</f>
        <v>🟡 LAUNCH+LOC</v>
      </c>
    </row>
    <row r="20" customFormat="false" ht="15" hidden="false" customHeight="false" outlineLevel="0" collapsed="false">
      <c r="A20" s="8" t="s">
        <v>12</v>
      </c>
      <c r="B20" s="8" t="s">
        <v>47</v>
      </c>
      <c r="C20" s="8" t="s">
        <v>42</v>
      </c>
      <c r="D20" s="12" t="n">
        <v>10</v>
      </c>
      <c r="E20" s="8" t="s">
        <v>37</v>
      </c>
      <c r="F20" s="13" t="n">
        <v>0.18</v>
      </c>
      <c r="G20" s="13" t="n">
        <v>0.95</v>
      </c>
      <c r="H20" s="14" t="n">
        <f aca="false">(F20+G20)/2</f>
        <v>0.565</v>
      </c>
      <c r="I20" s="15" t="n">
        <f aca="false">ROUND(Assumptions!$B$4/H20,0)</f>
        <v>885</v>
      </c>
      <c r="J20" s="16" t="n">
        <f aca="false">ROUND(I20*Assumptions!$B$7,2)</f>
        <v>21.99</v>
      </c>
      <c r="K20" s="10" t="n">
        <f aca="false">IF(J20&gt;0,ROUND(Assumptions!$B$4/J20,0),9999)</f>
        <v>23</v>
      </c>
      <c r="L20" s="9" t="n">
        <v>280</v>
      </c>
      <c r="M20" s="10" t="n">
        <f aca="false">L20*Assumptions!$B$9</f>
        <v>126</v>
      </c>
      <c r="N20" s="17" t="str">
        <f aca="false">IF(K20&lt;=Assumptions!$B$8,"YES ✓",IF(K20&lt;=M20,"TEST","NO ✗"))</f>
        <v>YES ✓</v>
      </c>
      <c r="O20" s="8" t="s">
        <v>49</v>
      </c>
      <c r="P20" s="17" t="str">
        <f aca="false">IF(N20="YES ✓",IF(O20="English OK","🟢 LAUNCH","🟡 LAUNCH+LOC"),IF(N20="TEST",IF(O20="English OK","🟡 TEST","🟠 TEST+LOC"),"🔴 SKIP"))</f>
        <v>🟡 LAUNCH+LOC</v>
      </c>
    </row>
    <row r="21" customFormat="false" ht="15" hidden="false" customHeight="false" outlineLevel="0" collapsed="false">
      <c r="A21" s="8" t="s">
        <v>12</v>
      </c>
      <c r="B21" s="8" t="s">
        <v>53</v>
      </c>
      <c r="C21" s="8" t="s">
        <v>36</v>
      </c>
      <c r="D21" s="12" t="n">
        <v>210</v>
      </c>
      <c r="E21" s="8" t="s">
        <v>37</v>
      </c>
      <c r="F21" s="13" t="n">
        <v>0.29</v>
      </c>
      <c r="G21" s="13" t="n">
        <v>1.48</v>
      </c>
      <c r="H21" s="14" t="n">
        <f aca="false">(F21+G21)/2</f>
        <v>0.885</v>
      </c>
      <c r="I21" s="15" t="n">
        <f aca="false">ROUND(Assumptions!$B$4/H21,0)</f>
        <v>565</v>
      </c>
      <c r="J21" s="16" t="n">
        <f aca="false">ROUND(I21*Assumptions!$B$7,2)</f>
        <v>14.04</v>
      </c>
      <c r="K21" s="10" t="n">
        <f aca="false">IF(J21&gt;0,ROUND(Assumptions!$B$4/J21,0),9999)</f>
        <v>36</v>
      </c>
      <c r="L21" s="9" t="n">
        <v>280</v>
      </c>
      <c r="M21" s="10" t="n">
        <f aca="false">L21*Assumptions!$B$9</f>
        <v>126</v>
      </c>
      <c r="N21" s="17" t="str">
        <f aca="false">IF(K21&lt;=Assumptions!$B$8,"YES ✓",IF(K21&lt;=M21,"TEST","NO ✗"))</f>
        <v>YES ✓</v>
      </c>
      <c r="O21" s="8" t="s">
        <v>38</v>
      </c>
      <c r="P21" s="17" t="str">
        <f aca="false">IF(N21="YES ✓",IF(O21="English OK","🟢 LAUNCH","🟡 LAUNCH+LOC"),IF(N21="TEST",IF(O21="English OK","🟡 TEST","🟠 TEST+LOC"),"🔴 SKIP"))</f>
        <v>🟢 LAUNCH</v>
      </c>
    </row>
    <row r="22" customFormat="false" ht="15" hidden="false" customHeight="false" outlineLevel="0" collapsed="false">
      <c r="A22" s="8" t="s">
        <v>12</v>
      </c>
      <c r="B22" s="8" t="s">
        <v>53</v>
      </c>
      <c r="C22" s="8" t="s">
        <v>41</v>
      </c>
      <c r="D22" s="12" t="n">
        <v>90</v>
      </c>
      <c r="E22" s="8" t="s">
        <v>37</v>
      </c>
      <c r="F22" s="13" t="n">
        <v>0.32</v>
      </c>
      <c r="G22" s="13" t="n">
        <v>1.85</v>
      </c>
      <c r="H22" s="14" t="n">
        <f aca="false">(F22+G22)/2</f>
        <v>1.085</v>
      </c>
      <c r="I22" s="15" t="n">
        <f aca="false">ROUND(Assumptions!$B$4/H22,0)</f>
        <v>461</v>
      </c>
      <c r="J22" s="16" t="n">
        <f aca="false">ROUND(I22*Assumptions!$B$7,2)</f>
        <v>11.46</v>
      </c>
      <c r="K22" s="10" t="n">
        <f aca="false">IF(J22&gt;0,ROUND(Assumptions!$B$4/J22,0),9999)</f>
        <v>44</v>
      </c>
      <c r="L22" s="9" t="n">
        <v>280</v>
      </c>
      <c r="M22" s="10" t="n">
        <f aca="false">L22*Assumptions!$B$9</f>
        <v>126</v>
      </c>
      <c r="N22" s="17" t="str">
        <f aca="false">IF(K22&lt;=Assumptions!$B$8,"YES ✓",IF(K22&lt;=M22,"TEST","NO ✗"))</f>
        <v>YES ✓</v>
      </c>
      <c r="O22" s="8" t="s">
        <v>38</v>
      </c>
      <c r="P22" s="17" t="str">
        <f aca="false">IF(N22="YES ✓",IF(O22="English OK","🟢 LAUNCH","🟡 LAUNCH+LOC"),IF(N22="TEST",IF(O22="English OK","🟡 TEST","🟠 TEST+LOC"),"🔴 SKIP"))</f>
        <v>🟢 LAUNCH</v>
      </c>
    </row>
    <row r="23" customFormat="false" ht="15" hidden="false" customHeight="false" outlineLevel="0" collapsed="false">
      <c r="A23" s="8" t="s">
        <v>12</v>
      </c>
      <c r="B23" s="8" t="s">
        <v>53</v>
      </c>
      <c r="C23" s="8" t="s">
        <v>46</v>
      </c>
      <c r="D23" s="12" t="n">
        <v>590</v>
      </c>
      <c r="E23" s="8" t="s">
        <v>37</v>
      </c>
      <c r="F23" s="13" t="n">
        <v>0.21</v>
      </c>
      <c r="G23" s="13" t="n">
        <v>0.97</v>
      </c>
      <c r="H23" s="14" t="n">
        <f aca="false">(F23+G23)/2</f>
        <v>0.59</v>
      </c>
      <c r="I23" s="15" t="n">
        <f aca="false">ROUND(Assumptions!$B$4/H23,0)</f>
        <v>847</v>
      </c>
      <c r="J23" s="16" t="n">
        <f aca="false">ROUND(I23*Assumptions!$B$7,2)</f>
        <v>21.05</v>
      </c>
      <c r="K23" s="10" t="n">
        <f aca="false">IF(J23&gt;0,ROUND(Assumptions!$B$4/J23,0),9999)</f>
        <v>24</v>
      </c>
      <c r="L23" s="9" t="n">
        <v>280</v>
      </c>
      <c r="M23" s="10" t="n">
        <f aca="false">L23*Assumptions!$B$9</f>
        <v>126</v>
      </c>
      <c r="N23" s="17" t="str">
        <f aca="false">IF(K23&lt;=Assumptions!$B$8,"YES ✓",IF(K23&lt;=M23,"TEST","NO ✗"))</f>
        <v>YES ✓</v>
      </c>
      <c r="O23" s="8" t="s">
        <v>38</v>
      </c>
      <c r="P23" s="17" t="str">
        <f aca="false">IF(N23="YES ✓",IF(O23="English OK","🟢 LAUNCH","🟡 LAUNCH+LOC"),IF(N23="TEST",IF(O23="English OK","🟡 TEST","🟠 TEST+LOC"),"🔴 SKIP"))</f>
        <v>🟢 LAUNCH</v>
      </c>
    </row>
    <row r="24" customFormat="false" ht="15" hidden="false" customHeight="false" outlineLevel="0" collapsed="false">
      <c r="A24" s="8" t="s">
        <v>12</v>
      </c>
      <c r="B24" s="8" t="s">
        <v>53</v>
      </c>
      <c r="C24" s="8" t="s">
        <v>42</v>
      </c>
      <c r="D24" s="12" t="n">
        <v>20</v>
      </c>
      <c r="E24" s="8" t="s">
        <v>37</v>
      </c>
      <c r="F24" s="13" t="n">
        <v>0.28</v>
      </c>
      <c r="G24" s="13" t="n">
        <v>1.45</v>
      </c>
      <c r="H24" s="14" t="n">
        <f aca="false">(F24+G24)/2</f>
        <v>0.865</v>
      </c>
      <c r="I24" s="15" t="n">
        <f aca="false">ROUND(Assumptions!$B$4/H24,0)</f>
        <v>578</v>
      </c>
      <c r="J24" s="16" t="n">
        <f aca="false">ROUND(I24*Assumptions!$B$7,2)</f>
        <v>14.36</v>
      </c>
      <c r="K24" s="10" t="n">
        <f aca="false">IF(J24&gt;0,ROUND(Assumptions!$B$4/J24,0),9999)</f>
        <v>35</v>
      </c>
      <c r="L24" s="9" t="n">
        <v>280</v>
      </c>
      <c r="M24" s="10" t="n">
        <f aca="false">L24*Assumptions!$B$9</f>
        <v>126</v>
      </c>
      <c r="N24" s="17" t="str">
        <f aca="false">IF(K24&lt;=Assumptions!$B$8,"YES ✓",IF(K24&lt;=M24,"TEST","NO ✗"))</f>
        <v>YES ✓</v>
      </c>
      <c r="O24" s="8" t="s">
        <v>38</v>
      </c>
      <c r="P24" s="17" t="str">
        <f aca="false">IF(N24="YES ✓",IF(O24="English OK","🟢 LAUNCH","🟡 LAUNCH+LOC"),IF(N24="TEST",IF(O24="English OK","🟡 TEST","🟠 TEST+LOC"),"🔴 SKIP"))</f>
        <v>🟢 LAUNCH</v>
      </c>
    </row>
    <row r="25" customFormat="false" ht="15" hidden="false" customHeight="false" outlineLevel="0" collapsed="false">
      <c r="A25" s="8" t="s">
        <v>12</v>
      </c>
      <c r="B25" s="8" t="s">
        <v>54</v>
      </c>
      <c r="C25" s="8" t="s">
        <v>36</v>
      </c>
      <c r="D25" s="12" t="n">
        <v>50</v>
      </c>
      <c r="E25" s="8" t="s">
        <v>37</v>
      </c>
      <c r="F25" s="13" t="n">
        <v>0.4</v>
      </c>
      <c r="G25" s="13" t="n">
        <v>1.6</v>
      </c>
      <c r="H25" s="14" t="n">
        <f aca="false">(F25+G25)/2</f>
        <v>1</v>
      </c>
      <c r="I25" s="15" t="n">
        <f aca="false">ROUND(Assumptions!$B$4/H25,0)</f>
        <v>500</v>
      </c>
      <c r="J25" s="16" t="n">
        <f aca="false">ROUND(I25*Assumptions!$B$7,2)</f>
        <v>12.43</v>
      </c>
      <c r="K25" s="10" t="n">
        <f aca="false">IF(J25&gt;0,ROUND(Assumptions!$B$4/J25,0),9999)</f>
        <v>40</v>
      </c>
      <c r="L25" s="9" t="n">
        <v>280</v>
      </c>
      <c r="M25" s="10" t="n">
        <f aca="false">L25*Assumptions!$B$9</f>
        <v>126</v>
      </c>
      <c r="N25" s="17" t="str">
        <f aca="false">IF(K25&lt;=Assumptions!$B$8,"YES ✓",IF(K25&lt;=M25,"TEST","NO ✗"))</f>
        <v>YES ✓</v>
      </c>
      <c r="O25" s="8" t="s">
        <v>38</v>
      </c>
      <c r="P25" s="17" t="str">
        <f aca="false">IF(N25="YES ✓",IF(O25="English OK","🟢 LAUNCH","🟡 LAUNCH+LOC"),IF(N25="TEST",IF(O25="English OK","🟡 TEST","🟠 TEST+LOC"),"🔴 SKIP"))</f>
        <v>🟢 LAUNCH</v>
      </c>
    </row>
    <row r="26" customFormat="false" ht="15" hidden="false" customHeight="false" outlineLevel="0" collapsed="false">
      <c r="A26" s="8" t="s">
        <v>12</v>
      </c>
      <c r="B26" s="8" t="s">
        <v>54</v>
      </c>
      <c r="C26" s="8" t="s">
        <v>39</v>
      </c>
      <c r="D26" s="12" t="n">
        <v>30</v>
      </c>
      <c r="E26" s="8" t="s">
        <v>55</v>
      </c>
      <c r="F26" s="13" t="n">
        <v>0.63</v>
      </c>
      <c r="G26" s="13" t="n">
        <v>2.09</v>
      </c>
      <c r="H26" s="14" t="n">
        <f aca="false">(F26+G26)/2</f>
        <v>1.36</v>
      </c>
      <c r="I26" s="15" t="n">
        <f aca="false">ROUND(Assumptions!$B$4/H26,0)</f>
        <v>368</v>
      </c>
      <c r="J26" s="16" t="n">
        <f aca="false">ROUND(I26*Assumptions!$B$7,2)</f>
        <v>9.14</v>
      </c>
      <c r="K26" s="10" t="n">
        <f aca="false">IF(J26&gt;0,ROUND(Assumptions!$B$4/J26,0),9999)</f>
        <v>55</v>
      </c>
      <c r="L26" s="9" t="n">
        <v>280</v>
      </c>
      <c r="M26" s="10" t="n">
        <f aca="false">L26*Assumptions!$B$9</f>
        <v>126</v>
      </c>
      <c r="N26" s="17" t="str">
        <f aca="false">IF(K26&lt;=Assumptions!$B$8,"YES ✓",IF(K26&lt;=M26,"TEST","NO ✗"))</f>
        <v>TEST</v>
      </c>
      <c r="O26" s="8" t="s">
        <v>38</v>
      </c>
      <c r="P26" s="17" t="str">
        <f aca="false">IF(N26="YES ✓",IF(O26="English OK","🟢 LAUNCH","🟡 LAUNCH+LOC"),IF(N26="TEST",IF(O26="English OK","🟡 TEST","🟠 TEST+LOC"),"🔴 SKIP"))</f>
        <v>🟡 TEST</v>
      </c>
    </row>
    <row r="27" customFormat="false" ht="15" hidden="false" customHeight="false" outlineLevel="0" collapsed="false">
      <c r="A27" s="8" t="s">
        <v>12</v>
      </c>
      <c r="B27" s="8" t="s">
        <v>54</v>
      </c>
      <c r="C27" s="8" t="s">
        <v>41</v>
      </c>
      <c r="D27" s="12" t="n">
        <v>40</v>
      </c>
      <c r="E27" s="8" t="s">
        <v>37</v>
      </c>
      <c r="F27" s="13" t="n">
        <v>0.42</v>
      </c>
      <c r="G27" s="13" t="n">
        <v>2.25</v>
      </c>
      <c r="H27" s="14" t="n">
        <f aca="false">(F27+G27)/2</f>
        <v>1.335</v>
      </c>
      <c r="I27" s="15" t="n">
        <f aca="false">ROUND(Assumptions!$B$4/H27,0)</f>
        <v>375</v>
      </c>
      <c r="J27" s="16" t="n">
        <f aca="false">ROUND(I27*Assumptions!$B$7,2)</f>
        <v>9.32</v>
      </c>
      <c r="K27" s="10" t="n">
        <f aca="false">IF(J27&gt;0,ROUND(Assumptions!$B$4/J27,0),9999)</f>
        <v>54</v>
      </c>
      <c r="L27" s="9" t="n">
        <v>280</v>
      </c>
      <c r="M27" s="10" t="n">
        <f aca="false">L27*Assumptions!$B$9</f>
        <v>126</v>
      </c>
      <c r="N27" s="17" t="str">
        <f aca="false">IF(K27&lt;=Assumptions!$B$8,"YES ✓",IF(K27&lt;=M27,"TEST","NO ✗"))</f>
        <v>TEST</v>
      </c>
      <c r="O27" s="8" t="s">
        <v>38</v>
      </c>
      <c r="P27" s="17" t="str">
        <f aca="false">IF(N27="YES ✓",IF(O27="English OK","🟢 LAUNCH","🟡 LAUNCH+LOC"),IF(N27="TEST",IF(O27="English OK","🟡 TEST","🟠 TEST+LOC"),"🔴 SKIP"))</f>
        <v>🟡 TEST</v>
      </c>
    </row>
    <row r="28" customFormat="false" ht="15" hidden="false" customHeight="false" outlineLevel="0" collapsed="false">
      <c r="A28" s="8" t="s">
        <v>12</v>
      </c>
      <c r="B28" s="8" t="s">
        <v>54</v>
      </c>
      <c r="C28" s="8" t="s">
        <v>46</v>
      </c>
      <c r="D28" s="12" t="n">
        <v>210</v>
      </c>
      <c r="E28" s="8" t="s">
        <v>37</v>
      </c>
      <c r="F28" s="13" t="n">
        <v>0.35</v>
      </c>
      <c r="G28" s="13" t="n">
        <v>1.85</v>
      </c>
      <c r="H28" s="14" t="n">
        <f aca="false">(F28+G28)/2</f>
        <v>1.1</v>
      </c>
      <c r="I28" s="15" t="n">
        <f aca="false">ROUND(Assumptions!$B$4/H28,0)</f>
        <v>455</v>
      </c>
      <c r="J28" s="16" t="n">
        <f aca="false">ROUND(I28*Assumptions!$B$7,2)</f>
        <v>11.31</v>
      </c>
      <c r="K28" s="10" t="n">
        <f aca="false">IF(J28&gt;0,ROUND(Assumptions!$B$4/J28,0),9999)</f>
        <v>44</v>
      </c>
      <c r="L28" s="9" t="n">
        <v>280</v>
      </c>
      <c r="M28" s="10" t="n">
        <f aca="false">L28*Assumptions!$B$9</f>
        <v>126</v>
      </c>
      <c r="N28" s="17" t="str">
        <f aca="false">IF(K28&lt;=Assumptions!$B$8,"YES ✓",IF(K28&lt;=M28,"TEST","NO ✗"))</f>
        <v>YES ✓</v>
      </c>
      <c r="O28" s="8" t="s">
        <v>38</v>
      </c>
      <c r="P28" s="17" t="str">
        <f aca="false">IF(N28="YES ✓",IF(O28="English OK","🟢 LAUNCH","🟡 LAUNCH+LOC"),IF(N28="TEST",IF(O28="English OK","🟡 TEST","🟠 TEST+LOC"),"🔴 SKIP"))</f>
        <v>🟢 LAUNCH</v>
      </c>
    </row>
    <row r="29" customFormat="false" ht="15" hidden="false" customHeight="false" outlineLevel="0" collapsed="false">
      <c r="A29" s="8" t="s">
        <v>12</v>
      </c>
      <c r="B29" s="8" t="s">
        <v>56</v>
      </c>
      <c r="C29" s="8" t="s">
        <v>36</v>
      </c>
      <c r="D29" s="12" t="n">
        <v>70</v>
      </c>
      <c r="E29" s="8" t="s">
        <v>57</v>
      </c>
      <c r="F29" s="13" t="n">
        <v>0.24</v>
      </c>
      <c r="G29" s="13" t="n">
        <v>1.91</v>
      </c>
      <c r="H29" s="14" t="n">
        <f aca="false">(F29+G29)/2</f>
        <v>1.075</v>
      </c>
      <c r="I29" s="15" t="n">
        <f aca="false">ROUND(Assumptions!$B$4/H29,0)</f>
        <v>465</v>
      </c>
      <c r="J29" s="16" t="n">
        <f aca="false">ROUND(I29*Assumptions!$B$7,2)</f>
        <v>11.56</v>
      </c>
      <c r="K29" s="10" t="n">
        <f aca="false">IF(J29&gt;0,ROUND(Assumptions!$B$4/J29,0),9999)</f>
        <v>43</v>
      </c>
      <c r="L29" s="9" t="n">
        <v>280</v>
      </c>
      <c r="M29" s="10" t="n">
        <f aca="false">L29*Assumptions!$B$9</f>
        <v>126</v>
      </c>
      <c r="N29" s="17" t="str">
        <f aca="false">IF(K29&lt;=Assumptions!$B$8,"YES ✓",IF(K29&lt;=M29,"TEST","NO ✗"))</f>
        <v>YES ✓</v>
      </c>
      <c r="O29" s="8" t="s">
        <v>49</v>
      </c>
      <c r="P29" s="17" t="str">
        <f aca="false">IF(N29="YES ✓",IF(O29="English OK","🟢 LAUNCH","🟡 LAUNCH+LOC"),IF(N29="TEST",IF(O29="English OK","🟡 TEST","🟠 TEST+LOC"),"🔴 SKIP"))</f>
        <v>🟡 LAUNCH+LOC</v>
      </c>
    </row>
    <row r="30" customFormat="false" ht="15" hidden="false" customHeight="false" outlineLevel="0" collapsed="false">
      <c r="A30" s="8" t="s">
        <v>12</v>
      </c>
      <c r="B30" s="8" t="s">
        <v>56</v>
      </c>
      <c r="C30" s="8" t="s">
        <v>41</v>
      </c>
      <c r="D30" s="12" t="n">
        <v>30</v>
      </c>
      <c r="E30" s="8" t="s">
        <v>37</v>
      </c>
      <c r="F30" s="13" t="n">
        <v>0.35</v>
      </c>
      <c r="G30" s="13" t="n">
        <v>2.6</v>
      </c>
      <c r="H30" s="14" t="n">
        <f aca="false">(F30+G30)/2</f>
        <v>1.475</v>
      </c>
      <c r="I30" s="15" t="n">
        <f aca="false">ROUND(Assumptions!$B$4/H30,0)</f>
        <v>339</v>
      </c>
      <c r="J30" s="16" t="n">
        <f aca="false">ROUND(I30*Assumptions!$B$7,2)</f>
        <v>8.42</v>
      </c>
      <c r="K30" s="10" t="n">
        <f aca="false">IF(J30&gt;0,ROUND(Assumptions!$B$4/J30,0),9999)</f>
        <v>59</v>
      </c>
      <c r="L30" s="9" t="n">
        <v>280</v>
      </c>
      <c r="M30" s="10" t="n">
        <f aca="false">L30*Assumptions!$B$9</f>
        <v>126</v>
      </c>
      <c r="N30" s="17" t="str">
        <f aca="false">IF(K30&lt;=Assumptions!$B$8,"YES ✓",IF(K30&lt;=M30,"TEST","NO ✗"))</f>
        <v>TEST</v>
      </c>
      <c r="O30" s="8" t="s">
        <v>49</v>
      </c>
      <c r="P30" s="17" t="str">
        <f aca="false">IF(N30="YES ✓",IF(O30="English OK","🟢 LAUNCH","🟡 LAUNCH+LOC"),IF(N30="TEST",IF(O30="English OK","🟡 TEST","🟠 TEST+LOC"),"🔴 SKIP"))</f>
        <v>🟠 TEST+LOC</v>
      </c>
    </row>
    <row r="31" customFormat="false" ht="15" hidden="false" customHeight="false" outlineLevel="0" collapsed="false">
      <c r="A31" s="8" t="s">
        <v>12</v>
      </c>
      <c r="B31" s="8" t="s">
        <v>56</v>
      </c>
      <c r="C31" s="8" t="s">
        <v>46</v>
      </c>
      <c r="D31" s="12" t="n">
        <v>210</v>
      </c>
      <c r="E31" s="8" t="s">
        <v>58</v>
      </c>
      <c r="F31" s="13" t="n">
        <v>0.33</v>
      </c>
      <c r="G31" s="13" t="n">
        <v>2.47</v>
      </c>
      <c r="H31" s="14" t="n">
        <f aca="false">(F31+G31)/2</f>
        <v>1.4</v>
      </c>
      <c r="I31" s="15" t="n">
        <f aca="false">ROUND(Assumptions!$B$4/H31,0)</f>
        <v>357</v>
      </c>
      <c r="J31" s="16" t="n">
        <f aca="false">ROUND(I31*Assumptions!$B$7,2)</f>
        <v>8.87</v>
      </c>
      <c r="K31" s="10" t="n">
        <f aca="false">IF(J31&gt;0,ROUND(Assumptions!$B$4/J31,0),9999)</f>
        <v>56</v>
      </c>
      <c r="L31" s="9" t="n">
        <v>280</v>
      </c>
      <c r="M31" s="10" t="n">
        <f aca="false">L31*Assumptions!$B$9</f>
        <v>126</v>
      </c>
      <c r="N31" s="17" t="str">
        <f aca="false">IF(K31&lt;=Assumptions!$B$8,"YES ✓",IF(K31&lt;=M31,"TEST","NO ✗"))</f>
        <v>TEST</v>
      </c>
      <c r="O31" s="8" t="s">
        <v>49</v>
      </c>
      <c r="P31" s="17" t="str">
        <f aca="false">IF(N31="YES ✓",IF(O31="English OK","🟢 LAUNCH","🟡 LAUNCH+LOC"),IF(N31="TEST",IF(O31="English OK","🟡 TEST","🟠 TEST+LOC"),"🔴 SKIP"))</f>
        <v>🟠 TEST+LOC</v>
      </c>
    </row>
    <row r="32" customFormat="false" ht="15" hidden="false" customHeight="false" outlineLevel="0" collapsed="false">
      <c r="A32" s="8" t="s">
        <v>12</v>
      </c>
      <c r="B32" s="8" t="s">
        <v>59</v>
      </c>
      <c r="C32" s="8" t="s">
        <v>36</v>
      </c>
      <c r="D32" s="12" t="n">
        <v>2900</v>
      </c>
      <c r="E32" s="8" t="s">
        <v>37</v>
      </c>
      <c r="F32" s="13" t="n">
        <v>0.16</v>
      </c>
      <c r="G32" s="13" t="n">
        <v>1.64</v>
      </c>
      <c r="H32" s="14" t="n">
        <f aca="false">(F32+G32)/2</f>
        <v>0.9</v>
      </c>
      <c r="I32" s="15" t="n">
        <f aca="false">ROUND(Assumptions!$B$4/H32,0)</f>
        <v>556</v>
      </c>
      <c r="J32" s="16" t="n">
        <f aca="false">ROUND(I32*Assumptions!$B$7,2)</f>
        <v>13.82</v>
      </c>
      <c r="K32" s="10" t="n">
        <f aca="false">IF(J32&gt;0,ROUND(Assumptions!$B$4/J32,0),9999)</f>
        <v>36</v>
      </c>
      <c r="L32" s="9" t="n">
        <v>280</v>
      </c>
      <c r="M32" s="10" t="n">
        <f aca="false">L32*Assumptions!$B$9</f>
        <v>126</v>
      </c>
      <c r="N32" s="17" t="str">
        <f aca="false">IF(K32&lt;=Assumptions!$B$8,"YES ✓",IF(K32&lt;=M32,"TEST","NO ✗"))</f>
        <v>YES ✓</v>
      </c>
      <c r="O32" s="8" t="s">
        <v>38</v>
      </c>
      <c r="P32" s="17" t="str">
        <f aca="false">IF(N32="YES ✓",IF(O32="English OK","🟢 LAUNCH","🟡 LAUNCH+LOC"),IF(N32="TEST",IF(O32="English OK","🟡 TEST","🟠 TEST+LOC"),"🔴 SKIP"))</f>
        <v>🟢 LAUNCH</v>
      </c>
    </row>
    <row r="33" customFormat="false" ht="15" hidden="false" customHeight="false" outlineLevel="0" collapsed="false">
      <c r="A33" s="8" t="s">
        <v>12</v>
      </c>
      <c r="B33" s="8" t="s">
        <v>59</v>
      </c>
      <c r="C33" s="8" t="s">
        <v>41</v>
      </c>
      <c r="D33" s="12" t="n">
        <v>320</v>
      </c>
      <c r="E33" s="8" t="s">
        <v>37</v>
      </c>
      <c r="F33" s="13" t="n">
        <v>0.22</v>
      </c>
      <c r="G33" s="13" t="n">
        <v>2.78</v>
      </c>
      <c r="H33" s="14" t="n">
        <f aca="false">(F33+G33)/2</f>
        <v>1.5</v>
      </c>
      <c r="I33" s="15" t="n">
        <f aca="false">ROUND(Assumptions!$B$4/H33,0)</f>
        <v>333</v>
      </c>
      <c r="J33" s="16" t="n">
        <f aca="false">ROUND(I33*Assumptions!$B$7,2)</f>
        <v>8.28</v>
      </c>
      <c r="K33" s="10" t="n">
        <f aca="false">IF(J33&gt;0,ROUND(Assumptions!$B$4/J33,0),9999)</f>
        <v>60</v>
      </c>
      <c r="L33" s="9" t="n">
        <v>280</v>
      </c>
      <c r="M33" s="10" t="n">
        <f aca="false">L33*Assumptions!$B$9</f>
        <v>126</v>
      </c>
      <c r="N33" s="17" t="str">
        <f aca="false">IF(K33&lt;=Assumptions!$B$8,"YES ✓",IF(K33&lt;=M33,"TEST","NO ✗"))</f>
        <v>TEST</v>
      </c>
      <c r="O33" s="8" t="s">
        <v>38</v>
      </c>
      <c r="P33" s="17" t="str">
        <f aca="false">IF(N33="YES ✓",IF(O33="English OK","🟢 LAUNCH","🟡 LAUNCH+LOC"),IF(N33="TEST",IF(O33="English OK","🟡 TEST","🟠 TEST+LOC"),"🔴 SKIP"))</f>
        <v>🟡 TEST</v>
      </c>
    </row>
    <row r="34" customFormat="false" ht="15" hidden="false" customHeight="false" outlineLevel="0" collapsed="false">
      <c r="A34" s="8" t="s">
        <v>12</v>
      </c>
      <c r="B34" s="8" t="s">
        <v>59</v>
      </c>
      <c r="C34" s="8" t="s">
        <v>46</v>
      </c>
      <c r="D34" s="12" t="n">
        <v>1900</v>
      </c>
      <c r="E34" s="8" t="s">
        <v>37</v>
      </c>
      <c r="F34" s="13" t="n">
        <v>0.15</v>
      </c>
      <c r="G34" s="13" t="n">
        <v>2.18</v>
      </c>
      <c r="H34" s="14" t="n">
        <f aca="false">(F34+G34)/2</f>
        <v>1.165</v>
      </c>
      <c r="I34" s="15" t="n">
        <f aca="false">ROUND(Assumptions!$B$4/H34,0)</f>
        <v>429</v>
      </c>
      <c r="J34" s="16" t="n">
        <f aca="false">ROUND(I34*Assumptions!$B$7,2)</f>
        <v>10.66</v>
      </c>
      <c r="K34" s="10" t="n">
        <f aca="false">IF(J34&gt;0,ROUND(Assumptions!$B$4/J34,0),9999)</f>
        <v>47</v>
      </c>
      <c r="L34" s="9" t="n">
        <v>280</v>
      </c>
      <c r="M34" s="10" t="n">
        <f aca="false">L34*Assumptions!$B$9</f>
        <v>126</v>
      </c>
      <c r="N34" s="17" t="str">
        <f aca="false">IF(K34&lt;=Assumptions!$B$8,"YES ✓",IF(K34&lt;=M34,"TEST","NO ✗"))</f>
        <v>YES ✓</v>
      </c>
      <c r="O34" s="8" t="s">
        <v>38</v>
      </c>
      <c r="P34" s="17" t="str">
        <f aca="false">IF(N34="YES ✓",IF(O34="English OK","🟢 LAUNCH","🟡 LAUNCH+LOC"),IF(N34="TEST",IF(O34="English OK","🟡 TEST","🟠 TEST+LOC"),"🔴 SKIP"))</f>
        <v>🟢 LAUNCH</v>
      </c>
    </row>
    <row r="35" customFormat="false" ht="15" hidden="false" customHeight="false" outlineLevel="0" collapsed="false">
      <c r="A35" s="8" t="s">
        <v>12</v>
      </c>
      <c r="B35" s="8" t="s">
        <v>59</v>
      </c>
      <c r="C35" s="8" t="s">
        <v>43</v>
      </c>
      <c r="D35" s="12" t="n">
        <v>170</v>
      </c>
      <c r="E35" s="8" t="s">
        <v>37</v>
      </c>
      <c r="F35" s="13" t="n">
        <v>0.18</v>
      </c>
      <c r="G35" s="13" t="n">
        <v>1.85</v>
      </c>
      <c r="H35" s="14" t="n">
        <f aca="false">(F35+G35)/2</f>
        <v>1.015</v>
      </c>
      <c r="I35" s="15" t="n">
        <f aca="false">ROUND(Assumptions!$B$4/H35,0)</f>
        <v>493</v>
      </c>
      <c r="J35" s="16" t="n">
        <f aca="false">ROUND(I35*Assumptions!$B$7,2)</f>
        <v>12.25</v>
      </c>
      <c r="K35" s="10" t="n">
        <f aca="false">IF(J35&gt;0,ROUND(Assumptions!$B$4/J35,0),9999)</f>
        <v>41</v>
      </c>
      <c r="L35" s="9" t="n">
        <v>280</v>
      </c>
      <c r="M35" s="10" t="n">
        <f aca="false">L35*Assumptions!$B$9</f>
        <v>126</v>
      </c>
      <c r="N35" s="17" t="str">
        <f aca="false">IF(K35&lt;=Assumptions!$B$8,"YES ✓",IF(K35&lt;=M35,"TEST","NO ✗"))</f>
        <v>YES ✓</v>
      </c>
      <c r="O35" s="8" t="s">
        <v>38</v>
      </c>
      <c r="P35" s="17" t="str">
        <f aca="false">IF(N35="YES ✓",IF(O35="English OK","🟢 LAUNCH","🟡 LAUNCH+LOC"),IF(N35="TEST",IF(O35="English OK","🟡 TEST","🟠 TEST+LOC"),"🔴 SKIP"))</f>
        <v>🟢 LAUNCH</v>
      </c>
    </row>
    <row r="36" customFormat="false" ht="15" hidden="false" customHeight="false" outlineLevel="0" collapsed="false">
      <c r="A36" s="8" t="s">
        <v>12</v>
      </c>
      <c r="B36" s="8" t="s">
        <v>60</v>
      </c>
      <c r="C36" s="8" t="s">
        <v>36</v>
      </c>
      <c r="D36" s="12" t="n">
        <v>140</v>
      </c>
      <c r="E36" s="8" t="s">
        <v>37</v>
      </c>
      <c r="F36" s="13" t="n">
        <v>0.25</v>
      </c>
      <c r="G36" s="13" t="n">
        <v>2.1</v>
      </c>
      <c r="H36" s="14" t="n">
        <f aca="false">(F36+G36)/2</f>
        <v>1.175</v>
      </c>
      <c r="I36" s="15" t="n">
        <f aca="false">ROUND(Assumptions!$B$4/H36,0)</f>
        <v>426</v>
      </c>
      <c r="J36" s="16" t="n">
        <f aca="false">ROUND(I36*Assumptions!$B$7,2)</f>
        <v>10.59</v>
      </c>
      <c r="K36" s="10" t="n">
        <f aca="false">IF(J36&gt;0,ROUND(Assumptions!$B$4/J36,0),9999)</f>
        <v>47</v>
      </c>
      <c r="L36" s="9" t="n">
        <v>280</v>
      </c>
      <c r="M36" s="10" t="n">
        <f aca="false">L36*Assumptions!$B$9</f>
        <v>126</v>
      </c>
      <c r="N36" s="17" t="str">
        <f aca="false">IF(K36&lt;=Assumptions!$B$8,"YES ✓",IF(K36&lt;=M36,"TEST","NO ✗"))</f>
        <v>YES ✓</v>
      </c>
      <c r="O36" s="8" t="s">
        <v>49</v>
      </c>
      <c r="P36" s="17" t="str">
        <f aca="false">IF(N36="YES ✓",IF(O36="English OK","🟢 LAUNCH","🟡 LAUNCH+LOC"),IF(N36="TEST",IF(O36="English OK","🟡 TEST","🟠 TEST+LOC"),"🔴 SKIP"))</f>
        <v>🟡 LAUNCH+LOC</v>
      </c>
    </row>
    <row r="37" customFormat="false" ht="15" hidden="false" customHeight="false" outlineLevel="0" collapsed="false">
      <c r="A37" s="8" t="s">
        <v>12</v>
      </c>
      <c r="B37" s="8" t="s">
        <v>60</v>
      </c>
      <c r="C37" s="8" t="s">
        <v>41</v>
      </c>
      <c r="D37" s="12" t="n">
        <v>210</v>
      </c>
      <c r="E37" s="8" t="s">
        <v>37</v>
      </c>
      <c r="F37" s="13" t="n">
        <v>0.32</v>
      </c>
      <c r="G37" s="13" t="n">
        <v>2.95</v>
      </c>
      <c r="H37" s="14" t="n">
        <f aca="false">(F37+G37)/2</f>
        <v>1.635</v>
      </c>
      <c r="I37" s="15" t="n">
        <f aca="false">ROUND(Assumptions!$B$4/H37,0)</f>
        <v>306</v>
      </c>
      <c r="J37" s="16" t="n">
        <f aca="false">ROUND(I37*Assumptions!$B$7,2)</f>
        <v>7.6</v>
      </c>
      <c r="K37" s="10" t="n">
        <f aca="false">IF(J37&gt;0,ROUND(Assumptions!$B$4/J37,0),9999)</f>
        <v>66</v>
      </c>
      <c r="L37" s="9" t="n">
        <v>280</v>
      </c>
      <c r="M37" s="10" t="n">
        <f aca="false">L37*Assumptions!$B$9</f>
        <v>126</v>
      </c>
      <c r="N37" s="17" t="str">
        <f aca="false">IF(K37&lt;=Assumptions!$B$8,"YES ✓",IF(K37&lt;=M37,"TEST","NO ✗"))</f>
        <v>TEST</v>
      </c>
      <c r="O37" s="8" t="s">
        <v>49</v>
      </c>
      <c r="P37" s="17" t="str">
        <f aca="false">IF(N37="YES ✓",IF(O37="English OK","🟢 LAUNCH","🟡 LAUNCH+LOC"),IF(N37="TEST",IF(O37="English OK","🟡 TEST","🟠 TEST+LOC"),"🔴 SKIP"))</f>
        <v>🟠 TEST+LOC</v>
      </c>
    </row>
    <row r="38" customFormat="false" ht="15" hidden="false" customHeight="false" outlineLevel="0" collapsed="false">
      <c r="A38" s="8" t="s">
        <v>12</v>
      </c>
      <c r="B38" s="8" t="s">
        <v>60</v>
      </c>
      <c r="C38" s="8" t="s">
        <v>46</v>
      </c>
      <c r="D38" s="12" t="n">
        <v>6600</v>
      </c>
      <c r="E38" s="8" t="s">
        <v>61</v>
      </c>
      <c r="F38" s="13" t="n">
        <v>0.77</v>
      </c>
      <c r="G38" s="13" t="n">
        <v>2.77</v>
      </c>
      <c r="H38" s="14" t="n">
        <f aca="false">(F38+G38)/2</f>
        <v>1.77</v>
      </c>
      <c r="I38" s="15" t="n">
        <f aca="false">ROUND(Assumptions!$B$4/H38,0)</f>
        <v>282</v>
      </c>
      <c r="J38" s="16" t="n">
        <f aca="false">ROUND(I38*Assumptions!$B$7,2)</f>
        <v>7.01</v>
      </c>
      <c r="K38" s="10" t="n">
        <f aca="false">IF(J38&gt;0,ROUND(Assumptions!$B$4/J38,0),9999)</f>
        <v>71</v>
      </c>
      <c r="L38" s="9" t="n">
        <v>280</v>
      </c>
      <c r="M38" s="10" t="n">
        <f aca="false">L38*Assumptions!$B$9</f>
        <v>126</v>
      </c>
      <c r="N38" s="17" t="str">
        <f aca="false">IF(K38&lt;=Assumptions!$B$8,"YES ✓",IF(K38&lt;=M38,"TEST","NO ✗"))</f>
        <v>TEST</v>
      </c>
      <c r="O38" s="8" t="s">
        <v>49</v>
      </c>
      <c r="P38" s="17" t="str">
        <f aca="false">IF(N38="YES ✓",IF(O38="English OK","🟢 LAUNCH","🟡 LAUNCH+LOC"),IF(N38="TEST",IF(O38="English OK","🟡 TEST","🟠 TEST+LOC"),"🔴 SKIP"))</f>
        <v>🟠 TEST+LOC</v>
      </c>
    </row>
    <row r="39" customFormat="false" ht="15" hidden="false" customHeight="false" outlineLevel="0" collapsed="false">
      <c r="A39" s="8" t="s">
        <v>12</v>
      </c>
      <c r="B39" s="8" t="s">
        <v>62</v>
      </c>
      <c r="C39" s="8" t="s">
        <v>36</v>
      </c>
      <c r="D39" s="12" t="n">
        <v>1300</v>
      </c>
      <c r="E39" s="8" t="s">
        <v>37</v>
      </c>
      <c r="F39" s="13" t="n">
        <v>0.7</v>
      </c>
      <c r="G39" s="13" t="n">
        <v>4.07</v>
      </c>
      <c r="H39" s="14" t="n">
        <f aca="false">(F39+G39)/2</f>
        <v>2.385</v>
      </c>
      <c r="I39" s="15" t="n">
        <f aca="false">ROUND(Assumptions!$B$4/H39,0)</f>
        <v>210</v>
      </c>
      <c r="J39" s="16" t="n">
        <f aca="false">ROUND(I39*Assumptions!$B$7,2)</f>
        <v>5.22</v>
      </c>
      <c r="K39" s="10" t="n">
        <f aca="false">IF(J39&gt;0,ROUND(Assumptions!$B$4/J39,0),9999)</f>
        <v>96</v>
      </c>
      <c r="L39" s="9" t="n">
        <v>280</v>
      </c>
      <c r="M39" s="10" t="n">
        <f aca="false">L39*Assumptions!$B$9</f>
        <v>126</v>
      </c>
      <c r="N39" s="17" t="str">
        <f aca="false">IF(K39&lt;=Assumptions!$B$8,"YES ✓",IF(K39&lt;=M39,"TEST","NO ✗"))</f>
        <v>TEST</v>
      </c>
      <c r="O39" s="8" t="s">
        <v>38</v>
      </c>
      <c r="P39" s="17" t="str">
        <f aca="false">IF(N39="YES ✓",IF(O39="English OK","🟢 LAUNCH","🟡 LAUNCH+LOC"),IF(N39="TEST",IF(O39="English OK","🟡 TEST","🟠 TEST+LOC"),"🔴 SKIP"))</f>
        <v>🟡 TEST</v>
      </c>
    </row>
    <row r="40" customFormat="false" ht="15" hidden="false" customHeight="false" outlineLevel="0" collapsed="false">
      <c r="A40" s="8" t="s">
        <v>12</v>
      </c>
      <c r="B40" s="8" t="s">
        <v>62</v>
      </c>
      <c r="C40" s="8" t="s">
        <v>41</v>
      </c>
      <c r="D40" s="12" t="n">
        <v>90</v>
      </c>
      <c r="E40" s="8" t="s">
        <v>37</v>
      </c>
      <c r="F40" s="13" t="n">
        <v>0.52</v>
      </c>
      <c r="G40" s="13" t="n">
        <v>3.72</v>
      </c>
      <c r="H40" s="14" t="n">
        <f aca="false">(F40+G40)/2</f>
        <v>2.12</v>
      </c>
      <c r="I40" s="15" t="n">
        <f aca="false">ROUND(Assumptions!$B$4/H40,0)</f>
        <v>236</v>
      </c>
      <c r="J40" s="16" t="n">
        <f aca="false">ROUND(I40*Assumptions!$B$7,2)</f>
        <v>5.86</v>
      </c>
      <c r="K40" s="10" t="n">
        <f aca="false">IF(J40&gt;0,ROUND(Assumptions!$B$4/J40,0),9999)</f>
        <v>85</v>
      </c>
      <c r="L40" s="9" t="n">
        <v>280</v>
      </c>
      <c r="M40" s="10" t="n">
        <f aca="false">L40*Assumptions!$B$9</f>
        <v>126</v>
      </c>
      <c r="N40" s="17" t="str">
        <f aca="false">IF(K40&lt;=Assumptions!$B$8,"YES ✓",IF(K40&lt;=M40,"TEST","NO ✗"))</f>
        <v>TEST</v>
      </c>
      <c r="O40" s="8" t="s">
        <v>38</v>
      </c>
      <c r="P40" s="17" t="str">
        <f aca="false">IF(N40="YES ✓",IF(O40="English OK","🟢 LAUNCH","🟡 LAUNCH+LOC"),IF(N40="TEST",IF(O40="English OK","🟡 TEST","🟠 TEST+LOC"),"🔴 SKIP"))</f>
        <v>🟡 TEST</v>
      </c>
    </row>
    <row r="41" customFormat="false" ht="15" hidden="false" customHeight="false" outlineLevel="0" collapsed="false">
      <c r="A41" s="8" t="s">
        <v>12</v>
      </c>
      <c r="B41" s="8" t="s">
        <v>62</v>
      </c>
      <c r="C41" s="8" t="s">
        <v>63</v>
      </c>
      <c r="D41" s="12" t="n">
        <v>720</v>
      </c>
      <c r="E41" s="8" t="s">
        <v>37</v>
      </c>
      <c r="F41" s="13" t="n">
        <v>0.4</v>
      </c>
      <c r="G41" s="13" t="n">
        <v>3.35</v>
      </c>
      <c r="H41" s="14" t="n">
        <f aca="false">(F41+G41)/2</f>
        <v>1.875</v>
      </c>
      <c r="I41" s="15" t="n">
        <f aca="false">ROUND(Assumptions!$B$4/H41,0)</f>
        <v>267</v>
      </c>
      <c r="J41" s="16" t="n">
        <f aca="false">ROUND(I41*Assumptions!$B$7,2)</f>
        <v>6.63</v>
      </c>
      <c r="K41" s="10" t="n">
        <f aca="false">IF(J41&gt;0,ROUND(Assumptions!$B$4/J41,0),9999)</f>
        <v>75</v>
      </c>
      <c r="L41" s="9" t="n">
        <v>280</v>
      </c>
      <c r="M41" s="10" t="n">
        <f aca="false">L41*Assumptions!$B$9</f>
        <v>126</v>
      </c>
      <c r="N41" s="17" t="str">
        <f aca="false">IF(K41&lt;=Assumptions!$B$8,"YES ✓",IF(K41&lt;=M41,"TEST","NO ✗"))</f>
        <v>TEST</v>
      </c>
      <c r="O41" s="8" t="s">
        <v>38</v>
      </c>
      <c r="P41" s="17" t="str">
        <f aca="false">IF(N41="YES ✓",IF(O41="English OK","🟢 LAUNCH","🟡 LAUNCH+LOC"),IF(N41="TEST",IF(O41="English OK","🟡 TEST","🟠 TEST+LOC"),"🔴 SKIP"))</f>
        <v>🟡 TEST</v>
      </c>
    </row>
    <row r="42" customFormat="false" ht="15" hidden="false" customHeight="false" outlineLevel="0" collapsed="false">
      <c r="A42" s="8" t="s">
        <v>12</v>
      </c>
      <c r="B42" s="8" t="s">
        <v>62</v>
      </c>
      <c r="C42" s="8" t="s">
        <v>43</v>
      </c>
      <c r="D42" s="12" t="n">
        <v>110</v>
      </c>
      <c r="E42" s="8" t="s">
        <v>37</v>
      </c>
      <c r="F42" s="13" t="n">
        <v>0.65</v>
      </c>
      <c r="G42" s="13" t="n">
        <v>3.85</v>
      </c>
      <c r="H42" s="14" t="n">
        <f aca="false">(F42+G42)/2</f>
        <v>2.25</v>
      </c>
      <c r="I42" s="15" t="n">
        <f aca="false">ROUND(Assumptions!$B$4/H42,0)</f>
        <v>222</v>
      </c>
      <c r="J42" s="16" t="n">
        <f aca="false">ROUND(I42*Assumptions!$B$7,2)</f>
        <v>5.52</v>
      </c>
      <c r="K42" s="10" t="n">
        <f aca="false">IF(J42&gt;0,ROUND(Assumptions!$B$4/J42,0),9999)</f>
        <v>91</v>
      </c>
      <c r="L42" s="9" t="n">
        <v>280</v>
      </c>
      <c r="M42" s="10" t="n">
        <f aca="false">L42*Assumptions!$B$9</f>
        <v>126</v>
      </c>
      <c r="N42" s="17" t="str">
        <f aca="false">IF(K42&lt;=Assumptions!$B$8,"YES ✓",IF(K42&lt;=M42,"TEST","NO ✗"))</f>
        <v>TEST</v>
      </c>
      <c r="O42" s="8" t="s">
        <v>38</v>
      </c>
      <c r="P42" s="17" t="str">
        <f aca="false">IF(N42="YES ✓",IF(O42="English OK","🟢 LAUNCH","🟡 LAUNCH+LOC"),IF(N42="TEST",IF(O42="English OK","🟡 TEST","🟠 TEST+LOC"),"🔴 SKIP"))</f>
        <v>🟡 TEST</v>
      </c>
    </row>
    <row r="43" customFormat="false" ht="15" hidden="false" customHeight="false" outlineLevel="0" collapsed="false">
      <c r="A43" s="8" t="s">
        <v>12</v>
      </c>
      <c r="B43" s="8" t="s">
        <v>64</v>
      </c>
      <c r="C43" s="8" t="s">
        <v>36</v>
      </c>
      <c r="D43" s="12" t="n">
        <v>6600</v>
      </c>
      <c r="E43" s="8" t="s">
        <v>37</v>
      </c>
      <c r="F43" s="13" t="n">
        <v>0.43</v>
      </c>
      <c r="G43" s="13" t="n">
        <v>2.74</v>
      </c>
      <c r="H43" s="14" t="n">
        <f aca="false">(F43+G43)/2</f>
        <v>1.585</v>
      </c>
      <c r="I43" s="15" t="n">
        <f aca="false">ROUND(Assumptions!$B$4/H43,0)</f>
        <v>315</v>
      </c>
      <c r="J43" s="16" t="n">
        <f aca="false">ROUND(I43*Assumptions!$B$7,2)</f>
        <v>7.83</v>
      </c>
      <c r="K43" s="10" t="n">
        <f aca="false">IF(J43&gt;0,ROUND(Assumptions!$B$4/J43,0),9999)</f>
        <v>64</v>
      </c>
      <c r="L43" s="9" t="n">
        <v>280</v>
      </c>
      <c r="M43" s="10" t="n">
        <f aca="false">L43*Assumptions!$B$9</f>
        <v>126</v>
      </c>
      <c r="N43" s="17" t="str">
        <f aca="false">IF(K43&lt;=Assumptions!$B$8,"YES ✓",IF(K43&lt;=M43,"TEST","NO ✗"))</f>
        <v>TEST</v>
      </c>
      <c r="O43" s="8" t="s">
        <v>38</v>
      </c>
      <c r="P43" s="17" t="str">
        <f aca="false">IF(N43="YES ✓",IF(O43="English OK","🟢 LAUNCH","🟡 LAUNCH+LOC"),IF(N43="TEST",IF(O43="English OK","🟡 TEST","🟠 TEST+LOC"),"🔴 SKIP"))</f>
        <v>🟡 TEST</v>
      </c>
    </row>
    <row r="44" customFormat="false" ht="15" hidden="false" customHeight="false" outlineLevel="0" collapsed="false">
      <c r="A44" s="8" t="s">
        <v>12</v>
      </c>
      <c r="B44" s="8" t="s">
        <v>64</v>
      </c>
      <c r="C44" s="8" t="s">
        <v>41</v>
      </c>
      <c r="D44" s="12" t="n">
        <v>720</v>
      </c>
      <c r="E44" s="8" t="s">
        <v>37</v>
      </c>
      <c r="F44" s="13" t="n">
        <v>0.5</v>
      </c>
      <c r="G44" s="13" t="n">
        <v>4.12</v>
      </c>
      <c r="H44" s="14" t="n">
        <f aca="false">(F44+G44)/2</f>
        <v>2.31</v>
      </c>
      <c r="I44" s="15" t="n">
        <f aca="false">ROUND(Assumptions!$B$4/H44,0)</f>
        <v>216</v>
      </c>
      <c r="J44" s="16" t="n">
        <f aca="false">ROUND(I44*Assumptions!$B$7,2)</f>
        <v>5.37</v>
      </c>
      <c r="K44" s="10" t="n">
        <f aca="false">IF(J44&gt;0,ROUND(Assumptions!$B$4/J44,0),9999)</f>
        <v>93</v>
      </c>
      <c r="L44" s="9" t="n">
        <v>280</v>
      </c>
      <c r="M44" s="10" t="n">
        <f aca="false">L44*Assumptions!$B$9</f>
        <v>126</v>
      </c>
      <c r="N44" s="17" t="str">
        <f aca="false">IF(K44&lt;=Assumptions!$B$8,"YES ✓",IF(K44&lt;=M44,"TEST","NO ✗"))</f>
        <v>TEST</v>
      </c>
      <c r="O44" s="8" t="s">
        <v>38</v>
      </c>
      <c r="P44" s="17" t="str">
        <f aca="false">IF(N44="YES ✓",IF(O44="English OK","🟢 LAUNCH","🟡 LAUNCH+LOC"),IF(N44="TEST",IF(O44="English OK","🟡 TEST","🟠 TEST+LOC"),"🔴 SKIP"))</f>
        <v>🟡 TEST</v>
      </c>
    </row>
    <row r="45" customFormat="false" ht="15" hidden="false" customHeight="false" outlineLevel="0" collapsed="false">
      <c r="A45" s="8" t="s">
        <v>12</v>
      </c>
      <c r="B45" s="8" t="s">
        <v>64</v>
      </c>
      <c r="C45" s="8" t="s">
        <v>63</v>
      </c>
      <c r="D45" s="12" t="n">
        <v>4400</v>
      </c>
      <c r="E45" s="8" t="s">
        <v>37</v>
      </c>
      <c r="F45" s="13" t="n">
        <v>0.48</v>
      </c>
      <c r="G45" s="13" t="n">
        <v>4.71</v>
      </c>
      <c r="H45" s="14" t="n">
        <f aca="false">(F45+G45)/2</f>
        <v>2.595</v>
      </c>
      <c r="I45" s="15" t="n">
        <f aca="false">ROUND(Assumptions!$B$4/H45,0)</f>
        <v>193</v>
      </c>
      <c r="J45" s="16" t="n">
        <f aca="false">ROUND(I45*Assumptions!$B$7,2)</f>
        <v>4.8</v>
      </c>
      <c r="K45" s="10" t="n">
        <f aca="false">IF(J45&gt;0,ROUND(Assumptions!$B$4/J45,0),9999)</f>
        <v>104</v>
      </c>
      <c r="L45" s="9" t="n">
        <v>280</v>
      </c>
      <c r="M45" s="10" t="n">
        <f aca="false">L45*Assumptions!$B$9</f>
        <v>126</v>
      </c>
      <c r="N45" s="17" t="str">
        <f aca="false">IF(K45&lt;=Assumptions!$B$8,"YES ✓",IF(K45&lt;=M45,"TEST","NO ✗"))</f>
        <v>TEST</v>
      </c>
      <c r="O45" s="8" t="s">
        <v>38</v>
      </c>
      <c r="P45" s="17" t="str">
        <f aca="false">IF(N45="YES ✓",IF(O45="English OK","🟢 LAUNCH","🟡 LAUNCH+LOC"),IF(N45="TEST",IF(O45="English OK","🟡 TEST","🟠 TEST+LOC"),"🔴 SKIP"))</f>
        <v>🟡 TEST</v>
      </c>
    </row>
    <row r="46" customFormat="false" ht="15" hidden="false" customHeight="false" outlineLevel="0" collapsed="false">
      <c r="A46" s="8" t="s">
        <v>12</v>
      </c>
      <c r="B46" s="8" t="s">
        <v>64</v>
      </c>
      <c r="C46" s="8" t="s">
        <v>43</v>
      </c>
      <c r="D46" s="12" t="n">
        <v>320</v>
      </c>
      <c r="E46" s="8" t="s">
        <v>37</v>
      </c>
      <c r="F46" s="13" t="n">
        <v>0.45</v>
      </c>
      <c r="G46" s="13" t="n">
        <v>2.95</v>
      </c>
      <c r="H46" s="14" t="n">
        <f aca="false">(F46+G46)/2</f>
        <v>1.7</v>
      </c>
      <c r="I46" s="15" t="n">
        <f aca="false">ROUND(Assumptions!$B$4/H46,0)</f>
        <v>294</v>
      </c>
      <c r="J46" s="16" t="n">
        <f aca="false">ROUND(I46*Assumptions!$B$7,2)</f>
        <v>7.31</v>
      </c>
      <c r="K46" s="10" t="n">
        <f aca="false">IF(J46&gt;0,ROUND(Assumptions!$B$4/J46,0),9999)</f>
        <v>68</v>
      </c>
      <c r="L46" s="9" t="n">
        <v>280</v>
      </c>
      <c r="M46" s="10" t="n">
        <f aca="false">L46*Assumptions!$B$9</f>
        <v>126</v>
      </c>
      <c r="N46" s="17" t="str">
        <f aca="false">IF(K46&lt;=Assumptions!$B$8,"YES ✓",IF(K46&lt;=M46,"TEST","NO ✗"))</f>
        <v>TEST</v>
      </c>
      <c r="O46" s="8" t="s">
        <v>38</v>
      </c>
      <c r="P46" s="17" t="str">
        <f aca="false">IF(N46="YES ✓",IF(O46="English OK","🟢 LAUNCH","🟡 LAUNCH+LOC"),IF(N46="TEST",IF(O46="English OK","🟡 TEST","🟠 TEST+LOC"),"🔴 SKIP"))</f>
        <v>🟡 TEST</v>
      </c>
    </row>
    <row r="47" customFormat="false" ht="15" hidden="false" customHeight="false" outlineLevel="0" collapsed="false">
      <c r="A47" s="8" t="s">
        <v>12</v>
      </c>
      <c r="B47" s="8" t="s">
        <v>65</v>
      </c>
      <c r="C47" s="8" t="s">
        <v>36</v>
      </c>
      <c r="D47" s="12" t="n">
        <v>18100</v>
      </c>
      <c r="E47" s="8" t="s">
        <v>37</v>
      </c>
      <c r="F47" s="13" t="n">
        <v>1.18</v>
      </c>
      <c r="G47" s="13" t="n">
        <v>5.93</v>
      </c>
      <c r="H47" s="14" t="n">
        <f aca="false">(F47+G47)/2</f>
        <v>3.555</v>
      </c>
      <c r="I47" s="15" t="n">
        <f aca="false">ROUND(Assumptions!$B$4/H47,0)</f>
        <v>141</v>
      </c>
      <c r="J47" s="16" t="n">
        <f aca="false">ROUND(I47*Assumptions!$B$7,2)</f>
        <v>3.5</v>
      </c>
      <c r="K47" s="10" t="n">
        <f aca="false">IF(J47&gt;0,ROUND(Assumptions!$B$4/J47,0),9999)</f>
        <v>143</v>
      </c>
      <c r="L47" s="9" t="n">
        <v>280</v>
      </c>
      <c r="M47" s="10" t="n">
        <f aca="false">L47*Assumptions!$B$9</f>
        <v>126</v>
      </c>
      <c r="N47" s="17" t="str">
        <f aca="false">IF(K47&lt;=Assumptions!$B$8,"YES ✓",IF(K47&lt;=M47,"TEST","NO ✗"))</f>
        <v>NO ✗</v>
      </c>
      <c r="O47" s="8" t="s">
        <v>38</v>
      </c>
      <c r="P47" s="17" t="str">
        <f aca="false">IF(N47="YES ✓",IF(O47="English OK","🟢 LAUNCH","🟡 LAUNCH+LOC"),IF(N47="TEST",IF(O47="English OK","🟡 TEST","🟠 TEST+LOC"),"🔴 SKIP"))</f>
        <v>🔴 SKIP</v>
      </c>
    </row>
    <row r="48" customFormat="false" ht="15" hidden="false" customHeight="false" outlineLevel="0" collapsed="false">
      <c r="A48" s="8" t="s">
        <v>12</v>
      </c>
      <c r="B48" s="8" t="s">
        <v>65</v>
      </c>
      <c r="C48" s="8" t="s">
        <v>41</v>
      </c>
      <c r="D48" s="12" t="n">
        <v>2400</v>
      </c>
      <c r="E48" s="8" t="s">
        <v>37</v>
      </c>
      <c r="F48" s="13" t="n">
        <v>0.92</v>
      </c>
      <c r="G48" s="13" t="n">
        <v>5.45</v>
      </c>
      <c r="H48" s="14" t="n">
        <f aca="false">(F48+G48)/2</f>
        <v>3.185</v>
      </c>
      <c r="I48" s="15" t="n">
        <f aca="false">ROUND(Assumptions!$B$4/H48,0)</f>
        <v>157</v>
      </c>
      <c r="J48" s="16" t="n">
        <f aca="false">ROUND(I48*Assumptions!$B$7,2)</f>
        <v>3.9</v>
      </c>
      <c r="K48" s="10" t="n">
        <f aca="false">IF(J48&gt;0,ROUND(Assumptions!$B$4/J48,0),9999)</f>
        <v>128</v>
      </c>
      <c r="L48" s="9" t="n">
        <v>280</v>
      </c>
      <c r="M48" s="10" t="n">
        <f aca="false">L48*Assumptions!$B$9</f>
        <v>126</v>
      </c>
      <c r="N48" s="17" t="str">
        <f aca="false">IF(K48&lt;=Assumptions!$B$8,"YES ✓",IF(K48&lt;=M48,"TEST","NO ✗"))</f>
        <v>NO ✗</v>
      </c>
      <c r="O48" s="8" t="s">
        <v>38</v>
      </c>
      <c r="P48" s="17" t="str">
        <f aca="false">IF(N48="YES ✓",IF(O48="English OK","🟢 LAUNCH","🟡 LAUNCH+LOC"),IF(N48="TEST",IF(O48="English OK","🟡 TEST","🟠 TEST+LOC"),"🔴 SKIP"))</f>
        <v>🔴 SKIP</v>
      </c>
    </row>
    <row r="49" customFormat="false" ht="15" hidden="false" customHeight="false" outlineLevel="0" collapsed="false">
      <c r="A49" s="8" t="s">
        <v>12</v>
      </c>
      <c r="B49" s="8" t="s">
        <v>65</v>
      </c>
      <c r="C49" s="8" t="s">
        <v>46</v>
      </c>
      <c r="D49" s="12" t="n">
        <v>14800</v>
      </c>
      <c r="E49" s="8" t="s">
        <v>37</v>
      </c>
      <c r="F49" s="13" t="n">
        <v>0.85</v>
      </c>
      <c r="G49" s="13" t="n">
        <v>4.75</v>
      </c>
      <c r="H49" s="14" t="n">
        <f aca="false">(F49+G49)/2</f>
        <v>2.8</v>
      </c>
      <c r="I49" s="15" t="n">
        <f aca="false">ROUND(Assumptions!$B$4/H49,0)</f>
        <v>179</v>
      </c>
      <c r="J49" s="16" t="n">
        <f aca="false">ROUND(I49*Assumptions!$B$7,2)</f>
        <v>4.45</v>
      </c>
      <c r="K49" s="10" t="n">
        <f aca="false">IF(J49&gt;0,ROUND(Assumptions!$B$4/J49,0),9999)</f>
        <v>112</v>
      </c>
      <c r="L49" s="9" t="n">
        <v>280</v>
      </c>
      <c r="M49" s="10" t="n">
        <f aca="false">L49*Assumptions!$B$9</f>
        <v>126</v>
      </c>
      <c r="N49" s="17" t="str">
        <f aca="false">IF(K49&lt;=Assumptions!$B$8,"YES ✓",IF(K49&lt;=M49,"TEST","NO ✗"))</f>
        <v>TEST</v>
      </c>
      <c r="O49" s="8" t="s">
        <v>38</v>
      </c>
      <c r="P49" s="17" t="str">
        <f aca="false">IF(N49="YES ✓",IF(O49="English OK","🟢 LAUNCH","🟡 LAUNCH+LOC"),IF(N49="TEST",IF(O49="English OK","🟡 TEST","🟠 TEST+LOC"),"🔴 SKIP"))</f>
        <v>🟡 TEST</v>
      </c>
    </row>
    <row r="50" customFormat="false" ht="15" hidden="false" customHeight="false" outlineLevel="0" collapsed="false">
      <c r="A50" s="8" t="s">
        <v>12</v>
      </c>
      <c r="B50" s="8" t="s">
        <v>65</v>
      </c>
      <c r="C50" s="8" t="s">
        <v>43</v>
      </c>
      <c r="D50" s="12" t="n">
        <v>880</v>
      </c>
      <c r="E50" s="8" t="s">
        <v>37</v>
      </c>
      <c r="F50" s="13" t="n">
        <v>1.05</v>
      </c>
      <c r="G50" s="13" t="n">
        <v>5.25</v>
      </c>
      <c r="H50" s="14" t="n">
        <f aca="false">(F50+G50)/2</f>
        <v>3.15</v>
      </c>
      <c r="I50" s="15" t="n">
        <f aca="false">ROUND(Assumptions!$B$4/H50,0)</f>
        <v>159</v>
      </c>
      <c r="J50" s="16" t="n">
        <f aca="false">ROUND(I50*Assumptions!$B$7,2)</f>
        <v>3.95</v>
      </c>
      <c r="K50" s="10" t="n">
        <f aca="false">IF(J50&gt;0,ROUND(Assumptions!$B$4/J50,0),9999)</f>
        <v>127</v>
      </c>
      <c r="L50" s="9" t="n">
        <v>280</v>
      </c>
      <c r="M50" s="10" t="n">
        <f aca="false">L50*Assumptions!$B$9</f>
        <v>126</v>
      </c>
      <c r="N50" s="17" t="str">
        <f aca="false">IF(K50&lt;=Assumptions!$B$8,"YES ✓",IF(K50&lt;=M50,"TEST","NO ✗"))</f>
        <v>NO ✗</v>
      </c>
      <c r="O50" s="8" t="s">
        <v>38</v>
      </c>
      <c r="P50" s="17" t="str">
        <f aca="false">IF(N50="YES ✓",IF(O50="English OK","🟢 LAUNCH","🟡 LAUNCH+LOC"),IF(N50="TEST",IF(O50="English OK","🟡 TEST","🟠 TEST+LOC"),"🔴 SKIP"))</f>
        <v>🔴 SKIP</v>
      </c>
    </row>
    <row r="51" customFormat="false" ht="15" hidden="false" customHeight="false" outlineLevel="0" collapsed="false">
      <c r="A51" s="8" t="s">
        <v>12</v>
      </c>
      <c r="B51" s="8" t="s">
        <v>66</v>
      </c>
      <c r="C51" s="8" t="s">
        <v>36</v>
      </c>
      <c r="D51" s="12" t="n">
        <v>6600</v>
      </c>
      <c r="E51" s="8" t="s">
        <v>37</v>
      </c>
      <c r="F51" s="13" t="n">
        <v>1.22</v>
      </c>
      <c r="G51" s="13" t="n">
        <v>5.57</v>
      </c>
      <c r="H51" s="14" t="n">
        <f aca="false">(F51+G51)/2</f>
        <v>3.395</v>
      </c>
      <c r="I51" s="15" t="n">
        <f aca="false">ROUND(Assumptions!$B$4/H51,0)</f>
        <v>147</v>
      </c>
      <c r="J51" s="16" t="n">
        <f aca="false">ROUND(I51*Assumptions!$B$7,2)</f>
        <v>3.65</v>
      </c>
      <c r="K51" s="10" t="n">
        <f aca="false">IF(J51&gt;0,ROUND(Assumptions!$B$4/J51,0),9999)</f>
        <v>137</v>
      </c>
      <c r="L51" s="9" t="n">
        <v>280</v>
      </c>
      <c r="M51" s="10" t="n">
        <f aca="false">L51*Assumptions!$B$9</f>
        <v>126</v>
      </c>
      <c r="N51" s="17" t="str">
        <f aca="false">IF(K51&lt;=Assumptions!$B$8,"YES ✓",IF(K51&lt;=M51,"TEST","NO ✗"))</f>
        <v>NO ✗</v>
      </c>
      <c r="O51" s="8" t="s">
        <v>38</v>
      </c>
      <c r="P51" s="17" t="str">
        <f aca="false">IF(N51="YES ✓",IF(O51="English OK","🟢 LAUNCH","🟡 LAUNCH+LOC"),IF(N51="TEST",IF(O51="English OK","🟡 TEST","🟠 TEST+LOC"),"🔴 SKIP"))</f>
        <v>🔴 SKIP</v>
      </c>
    </row>
    <row r="52" customFormat="false" ht="15" hidden="false" customHeight="false" outlineLevel="0" collapsed="false">
      <c r="A52" s="8" t="s">
        <v>12</v>
      </c>
      <c r="B52" s="8" t="s">
        <v>66</v>
      </c>
      <c r="C52" s="8" t="s">
        <v>41</v>
      </c>
      <c r="D52" s="12" t="n">
        <v>1300</v>
      </c>
      <c r="E52" s="8" t="s">
        <v>37</v>
      </c>
      <c r="F52" s="13" t="n">
        <v>1.15</v>
      </c>
      <c r="G52" s="13" t="n">
        <v>5.25</v>
      </c>
      <c r="H52" s="14" t="n">
        <f aca="false">(F52+G52)/2</f>
        <v>3.2</v>
      </c>
      <c r="I52" s="15" t="n">
        <f aca="false">ROUND(Assumptions!$B$4/H52,0)</f>
        <v>156</v>
      </c>
      <c r="J52" s="16" t="n">
        <f aca="false">ROUND(I52*Assumptions!$B$7,2)</f>
        <v>3.88</v>
      </c>
      <c r="K52" s="10" t="n">
        <f aca="false">IF(J52&gt;0,ROUND(Assumptions!$B$4/J52,0),9999)</f>
        <v>129</v>
      </c>
      <c r="L52" s="9" t="n">
        <v>280</v>
      </c>
      <c r="M52" s="10" t="n">
        <f aca="false">L52*Assumptions!$B$9</f>
        <v>126</v>
      </c>
      <c r="N52" s="17" t="str">
        <f aca="false">IF(K52&lt;=Assumptions!$B$8,"YES ✓",IF(K52&lt;=M52,"TEST","NO ✗"))</f>
        <v>NO ✗</v>
      </c>
      <c r="O52" s="8" t="s">
        <v>38</v>
      </c>
      <c r="P52" s="17" t="str">
        <f aca="false">IF(N52="YES ✓",IF(O52="English OK","🟢 LAUNCH","🟡 LAUNCH+LOC"),IF(N52="TEST",IF(O52="English OK","🟡 TEST","🟠 TEST+LOC"),"🔴 SKIP"))</f>
        <v>🔴 SKIP</v>
      </c>
    </row>
    <row r="53" customFormat="false" ht="15" hidden="false" customHeight="false" outlineLevel="0" collapsed="false">
      <c r="A53" s="8" t="s">
        <v>12</v>
      </c>
      <c r="B53" s="8" t="s">
        <v>66</v>
      </c>
      <c r="C53" s="8" t="s">
        <v>46</v>
      </c>
      <c r="D53" s="12" t="n">
        <v>5400</v>
      </c>
      <c r="E53" s="8" t="s">
        <v>37</v>
      </c>
      <c r="F53" s="13" t="n">
        <v>1.08</v>
      </c>
      <c r="G53" s="13" t="n">
        <v>4.45</v>
      </c>
      <c r="H53" s="14" t="n">
        <f aca="false">(F53+G53)/2</f>
        <v>2.765</v>
      </c>
      <c r="I53" s="15" t="n">
        <f aca="false">ROUND(Assumptions!$B$4/H53,0)</f>
        <v>181</v>
      </c>
      <c r="J53" s="16" t="n">
        <f aca="false">ROUND(I53*Assumptions!$B$7,2)</f>
        <v>4.5</v>
      </c>
      <c r="K53" s="10" t="n">
        <f aca="false">IF(J53&gt;0,ROUND(Assumptions!$B$4/J53,0),9999)</f>
        <v>111</v>
      </c>
      <c r="L53" s="9" t="n">
        <v>280</v>
      </c>
      <c r="M53" s="10" t="n">
        <f aca="false">L53*Assumptions!$B$9</f>
        <v>126</v>
      </c>
      <c r="N53" s="17" t="str">
        <f aca="false">IF(K53&lt;=Assumptions!$B$8,"YES ✓",IF(K53&lt;=M53,"TEST","NO ✗"))</f>
        <v>TEST</v>
      </c>
      <c r="O53" s="8" t="s">
        <v>38</v>
      </c>
      <c r="P53" s="17" t="str">
        <f aca="false">IF(N53="YES ✓",IF(O53="English OK","🟢 LAUNCH","🟡 LAUNCH+LOC"),IF(N53="TEST",IF(O53="English OK","🟡 TEST","🟠 TEST+LOC"),"🔴 SKIP"))</f>
        <v>🟡 TEST</v>
      </c>
    </row>
    <row r="54" customFormat="false" ht="15" hidden="false" customHeight="false" outlineLevel="0" collapsed="false">
      <c r="A54" s="8" t="s">
        <v>13</v>
      </c>
      <c r="B54" s="8" t="s">
        <v>35</v>
      </c>
      <c r="C54" s="8" t="s">
        <v>67</v>
      </c>
      <c r="D54" s="12" t="n">
        <v>170</v>
      </c>
      <c r="E54" s="8" t="s">
        <v>37</v>
      </c>
      <c r="F54" s="13" t="n">
        <v>0.05</v>
      </c>
      <c r="G54" s="13" t="n">
        <v>0.42</v>
      </c>
      <c r="H54" s="14" t="n">
        <f aca="false">(F54+G54)/2</f>
        <v>0.235</v>
      </c>
      <c r="I54" s="15" t="n">
        <f aca="false">ROUND(Assumptions!$B$4/H54,0)</f>
        <v>2128</v>
      </c>
      <c r="J54" s="16" t="n">
        <f aca="false">ROUND(I54*Assumptions!$B$7,2)</f>
        <v>52.88</v>
      </c>
      <c r="K54" s="10" t="n">
        <f aca="false">IF(J54&gt;0,ROUND(Assumptions!$B$4/J54,0),9999)</f>
        <v>9</v>
      </c>
      <c r="L54" s="9" t="n">
        <v>106</v>
      </c>
      <c r="M54" s="10" t="n">
        <f aca="false">L54*Assumptions!$B$9</f>
        <v>47.7</v>
      </c>
      <c r="N54" s="17" t="str">
        <f aca="false">IF(K54&lt;=Assumptions!$B$8,"YES ✓",IF(K54&lt;=M54,"TEST","NO ✗"))</f>
        <v>YES ✓</v>
      </c>
      <c r="O54" s="8" t="s">
        <v>38</v>
      </c>
      <c r="P54" s="17" t="str">
        <f aca="false">IF(N54="YES ✓",IF(O54="English OK","🟢 LAUNCH","🟡 LAUNCH+LOC"),IF(N54="TEST",IF(O54="English OK","🟡 TEST","🟠 TEST+LOC"),"🔴 SKIP"))</f>
        <v>🟢 LAUNCH</v>
      </c>
    </row>
    <row r="55" customFormat="false" ht="15" hidden="false" customHeight="false" outlineLevel="0" collapsed="false">
      <c r="A55" s="8" t="s">
        <v>13</v>
      </c>
      <c r="B55" s="8" t="s">
        <v>35</v>
      </c>
      <c r="C55" s="8" t="s">
        <v>68</v>
      </c>
      <c r="D55" s="12" t="n">
        <v>1600</v>
      </c>
      <c r="E55" s="8" t="s">
        <v>69</v>
      </c>
      <c r="F55" s="13" t="n">
        <v>0.06</v>
      </c>
      <c r="G55" s="13" t="n">
        <v>0.39</v>
      </c>
      <c r="H55" s="14" t="n">
        <f aca="false">(F55+G55)/2</f>
        <v>0.225</v>
      </c>
      <c r="I55" s="15" t="n">
        <f aca="false">ROUND(Assumptions!$B$4/H55,0)</f>
        <v>2222</v>
      </c>
      <c r="J55" s="16" t="n">
        <f aca="false">ROUND(I55*Assumptions!$B$7,2)</f>
        <v>55.22</v>
      </c>
      <c r="K55" s="10" t="n">
        <f aca="false">IF(J55&gt;0,ROUND(Assumptions!$B$4/J55,0),9999)</f>
        <v>9</v>
      </c>
      <c r="L55" s="9" t="n">
        <v>106</v>
      </c>
      <c r="M55" s="10" t="n">
        <f aca="false">L55*Assumptions!$B$9</f>
        <v>47.7</v>
      </c>
      <c r="N55" s="17" t="str">
        <f aca="false">IF(K55&lt;=Assumptions!$B$8,"YES ✓",IF(K55&lt;=M55,"TEST","NO ✗"))</f>
        <v>YES ✓</v>
      </c>
      <c r="O55" s="8" t="s">
        <v>38</v>
      </c>
      <c r="P55" s="17" t="str">
        <f aca="false">IF(N55="YES ✓",IF(O55="English OK","🟢 LAUNCH","🟡 LAUNCH+LOC"),IF(N55="TEST",IF(O55="English OK","🟡 TEST","🟠 TEST+LOC"),"🔴 SKIP"))</f>
        <v>🟢 LAUNCH</v>
      </c>
    </row>
    <row r="56" customFormat="false" ht="15" hidden="false" customHeight="false" outlineLevel="0" collapsed="false">
      <c r="A56" s="8" t="s">
        <v>13</v>
      </c>
      <c r="B56" s="8" t="s">
        <v>35</v>
      </c>
      <c r="C56" s="8" t="s">
        <v>70</v>
      </c>
      <c r="D56" s="12" t="n">
        <v>880</v>
      </c>
      <c r="E56" s="8" t="s">
        <v>37</v>
      </c>
      <c r="F56" s="13" t="n">
        <v>0.07</v>
      </c>
      <c r="G56" s="13" t="n">
        <v>0.48</v>
      </c>
      <c r="H56" s="14" t="n">
        <f aca="false">(F56+G56)/2</f>
        <v>0.275</v>
      </c>
      <c r="I56" s="15" t="n">
        <f aca="false">ROUND(Assumptions!$B$4/H56,0)</f>
        <v>1818</v>
      </c>
      <c r="J56" s="16" t="n">
        <f aca="false">ROUND(I56*Assumptions!$B$7,2)</f>
        <v>45.18</v>
      </c>
      <c r="K56" s="10" t="n">
        <f aca="false">IF(J56&gt;0,ROUND(Assumptions!$B$4/J56,0),9999)</f>
        <v>11</v>
      </c>
      <c r="L56" s="9" t="n">
        <v>106</v>
      </c>
      <c r="M56" s="10" t="n">
        <f aca="false">L56*Assumptions!$B$9</f>
        <v>47.7</v>
      </c>
      <c r="N56" s="17" t="str">
        <f aca="false">IF(K56&lt;=Assumptions!$B$8,"YES ✓",IF(K56&lt;=M56,"TEST","NO ✗"))</f>
        <v>YES ✓</v>
      </c>
      <c r="O56" s="8" t="s">
        <v>38</v>
      </c>
      <c r="P56" s="17" t="str">
        <f aca="false">IF(N56="YES ✓",IF(O56="English OK","🟢 LAUNCH","🟡 LAUNCH+LOC"),IF(N56="TEST",IF(O56="English OK","🟡 TEST","🟠 TEST+LOC"),"🔴 SKIP"))</f>
        <v>🟢 LAUNCH</v>
      </c>
    </row>
    <row r="57" customFormat="false" ht="15" hidden="false" customHeight="false" outlineLevel="0" collapsed="false">
      <c r="A57" s="8" t="s">
        <v>13</v>
      </c>
      <c r="B57" s="8" t="s">
        <v>35</v>
      </c>
      <c r="C57" s="8" t="s">
        <v>71</v>
      </c>
      <c r="D57" s="12" t="n">
        <v>2900</v>
      </c>
      <c r="E57" s="8" t="s">
        <v>69</v>
      </c>
      <c r="F57" s="13" t="n">
        <v>0.08</v>
      </c>
      <c r="G57" s="13" t="n">
        <v>0.52</v>
      </c>
      <c r="H57" s="14" t="n">
        <f aca="false">(F57+G57)/2</f>
        <v>0.3</v>
      </c>
      <c r="I57" s="15" t="n">
        <f aca="false">ROUND(Assumptions!$B$4/H57,0)</f>
        <v>1667</v>
      </c>
      <c r="J57" s="16" t="n">
        <f aca="false">ROUND(I57*Assumptions!$B$7,2)</f>
        <v>41.42</v>
      </c>
      <c r="K57" s="10" t="n">
        <f aca="false">IF(J57&gt;0,ROUND(Assumptions!$B$4/J57,0),9999)</f>
        <v>12</v>
      </c>
      <c r="L57" s="9" t="n">
        <v>106</v>
      </c>
      <c r="M57" s="10" t="n">
        <f aca="false">L57*Assumptions!$B$9</f>
        <v>47.7</v>
      </c>
      <c r="N57" s="17" t="str">
        <f aca="false">IF(K57&lt;=Assumptions!$B$8,"YES ✓",IF(K57&lt;=M57,"TEST","NO ✗"))</f>
        <v>YES ✓</v>
      </c>
      <c r="O57" s="8" t="s">
        <v>38</v>
      </c>
      <c r="P57" s="17" t="str">
        <f aca="false">IF(N57="YES ✓",IF(O57="English OK","🟢 LAUNCH","🟡 LAUNCH+LOC"),IF(N57="TEST",IF(O57="English OK","🟡 TEST","🟠 TEST+LOC"),"🔴 SKIP"))</f>
        <v>🟢 LAUNCH</v>
      </c>
    </row>
    <row r="58" customFormat="false" ht="15" hidden="false" customHeight="false" outlineLevel="0" collapsed="false">
      <c r="A58" s="8" t="s">
        <v>13</v>
      </c>
      <c r="B58" s="8" t="s">
        <v>35</v>
      </c>
      <c r="C58" s="8" t="s">
        <v>72</v>
      </c>
      <c r="D58" s="12" t="n">
        <v>320</v>
      </c>
      <c r="E58" s="8" t="s">
        <v>37</v>
      </c>
      <c r="F58" s="13" t="n">
        <v>0.05</v>
      </c>
      <c r="G58" s="13" t="n">
        <v>0.35</v>
      </c>
      <c r="H58" s="14" t="n">
        <f aca="false">(F58+G58)/2</f>
        <v>0.2</v>
      </c>
      <c r="I58" s="15" t="n">
        <f aca="false">ROUND(Assumptions!$B$4/H58,0)</f>
        <v>2500</v>
      </c>
      <c r="J58" s="16" t="n">
        <f aca="false">ROUND(I58*Assumptions!$B$7,2)</f>
        <v>62.13</v>
      </c>
      <c r="K58" s="10" t="n">
        <f aca="false">IF(J58&gt;0,ROUND(Assumptions!$B$4/J58,0),9999)</f>
        <v>8</v>
      </c>
      <c r="L58" s="9" t="n">
        <v>106</v>
      </c>
      <c r="M58" s="10" t="n">
        <f aca="false">L58*Assumptions!$B$9</f>
        <v>47.7</v>
      </c>
      <c r="N58" s="17" t="str">
        <f aca="false">IF(K58&lt;=Assumptions!$B$8,"YES ✓",IF(K58&lt;=M58,"TEST","NO ✗"))</f>
        <v>YES ✓</v>
      </c>
      <c r="O58" s="8" t="s">
        <v>38</v>
      </c>
      <c r="P58" s="17" t="str">
        <f aca="false">IF(N58="YES ✓",IF(O58="English OK","🟢 LAUNCH","🟡 LAUNCH+LOC"),IF(N58="TEST",IF(O58="English OK","🟡 TEST","🟠 TEST+LOC"),"🔴 SKIP"))</f>
        <v>🟢 LAUNCH</v>
      </c>
    </row>
    <row r="59" customFormat="false" ht="15" hidden="false" customHeight="false" outlineLevel="0" collapsed="false">
      <c r="A59" s="8" t="s">
        <v>13</v>
      </c>
      <c r="B59" s="8" t="s">
        <v>35</v>
      </c>
      <c r="C59" s="8" t="s">
        <v>73</v>
      </c>
      <c r="D59" s="12" t="n">
        <v>2900</v>
      </c>
      <c r="E59" s="8" t="s">
        <v>37</v>
      </c>
      <c r="F59" s="13" t="n">
        <v>0.05</v>
      </c>
      <c r="G59" s="13" t="n">
        <v>0.62</v>
      </c>
      <c r="H59" s="14" t="n">
        <f aca="false">(F59+G59)/2</f>
        <v>0.335</v>
      </c>
      <c r="I59" s="15" t="n">
        <f aca="false">ROUND(Assumptions!$B$4/H59,0)</f>
        <v>1493</v>
      </c>
      <c r="J59" s="16" t="n">
        <f aca="false">ROUND(I59*Assumptions!$B$7,2)</f>
        <v>37.1</v>
      </c>
      <c r="K59" s="10" t="n">
        <f aca="false">IF(J59&gt;0,ROUND(Assumptions!$B$4/J59,0),9999)</f>
        <v>13</v>
      </c>
      <c r="L59" s="9" t="n">
        <v>106</v>
      </c>
      <c r="M59" s="10" t="n">
        <f aca="false">L59*Assumptions!$B$9</f>
        <v>47.7</v>
      </c>
      <c r="N59" s="17" t="str">
        <f aca="false">IF(K59&lt;=Assumptions!$B$8,"YES ✓",IF(K59&lt;=M59,"TEST","NO ✗"))</f>
        <v>YES ✓</v>
      </c>
      <c r="O59" s="8" t="s">
        <v>38</v>
      </c>
      <c r="P59" s="17" t="str">
        <f aca="false">IF(N59="YES ✓",IF(O59="English OK","🟢 LAUNCH","🟡 LAUNCH+LOC"),IF(N59="TEST",IF(O59="English OK","🟡 TEST","🟠 TEST+LOC"),"🔴 SKIP"))</f>
        <v>🟢 LAUNCH</v>
      </c>
    </row>
    <row r="60" customFormat="false" ht="15" hidden="false" customHeight="false" outlineLevel="0" collapsed="false">
      <c r="A60" s="8" t="s">
        <v>13</v>
      </c>
      <c r="B60" s="8" t="s">
        <v>35</v>
      </c>
      <c r="C60" s="8" t="s">
        <v>74</v>
      </c>
      <c r="D60" s="12" t="n">
        <v>90</v>
      </c>
      <c r="E60" s="8" t="s">
        <v>37</v>
      </c>
      <c r="F60" s="13" t="n">
        <v>0.06</v>
      </c>
      <c r="G60" s="13" t="n">
        <v>0.45</v>
      </c>
      <c r="H60" s="14" t="n">
        <f aca="false">(F60+G60)/2</f>
        <v>0.255</v>
      </c>
      <c r="I60" s="15" t="n">
        <f aca="false">ROUND(Assumptions!$B$4/H60,0)</f>
        <v>1961</v>
      </c>
      <c r="J60" s="16" t="n">
        <f aca="false">ROUND(I60*Assumptions!$B$7,2)</f>
        <v>48.73</v>
      </c>
      <c r="K60" s="10" t="n">
        <f aca="false">IF(J60&gt;0,ROUND(Assumptions!$B$4/J60,0),9999)</f>
        <v>10</v>
      </c>
      <c r="L60" s="9" t="n">
        <v>106</v>
      </c>
      <c r="M60" s="10" t="n">
        <f aca="false">L60*Assumptions!$B$9</f>
        <v>47.7</v>
      </c>
      <c r="N60" s="17" t="str">
        <f aca="false">IF(K60&lt;=Assumptions!$B$8,"YES ✓",IF(K60&lt;=M60,"TEST","NO ✗"))</f>
        <v>YES ✓</v>
      </c>
      <c r="O60" s="8" t="s">
        <v>38</v>
      </c>
      <c r="P60" s="17" t="str">
        <f aca="false">IF(N60="YES ✓",IF(O60="English OK","🟢 LAUNCH","🟡 LAUNCH+LOC"),IF(N60="TEST",IF(O60="English OK","🟡 TEST","🟠 TEST+LOC"),"🔴 SKIP"))</f>
        <v>🟢 LAUNCH</v>
      </c>
    </row>
    <row r="61" customFormat="false" ht="15" hidden="false" customHeight="false" outlineLevel="0" collapsed="false">
      <c r="A61" s="8" t="s">
        <v>13</v>
      </c>
      <c r="B61" s="8" t="s">
        <v>45</v>
      </c>
      <c r="C61" s="8" t="s">
        <v>67</v>
      </c>
      <c r="D61" s="12" t="n">
        <v>320</v>
      </c>
      <c r="E61" s="8" t="s">
        <v>37</v>
      </c>
      <c r="F61" s="13" t="n">
        <v>0.12</v>
      </c>
      <c r="G61" s="13" t="n">
        <v>1.17</v>
      </c>
      <c r="H61" s="14" t="n">
        <f aca="false">(F61+G61)/2</f>
        <v>0.645</v>
      </c>
      <c r="I61" s="15" t="n">
        <f aca="false">ROUND(Assumptions!$B$4/H61,0)</f>
        <v>775</v>
      </c>
      <c r="J61" s="16" t="n">
        <f aca="false">ROUND(I61*Assumptions!$B$7,2)</f>
        <v>19.26</v>
      </c>
      <c r="K61" s="10" t="n">
        <f aca="false">IF(J61&gt;0,ROUND(Assumptions!$B$4/J61,0),9999)</f>
        <v>26</v>
      </c>
      <c r="L61" s="9" t="n">
        <v>106</v>
      </c>
      <c r="M61" s="10" t="n">
        <f aca="false">L61*Assumptions!$B$9</f>
        <v>47.7</v>
      </c>
      <c r="N61" s="17" t="str">
        <f aca="false">IF(K61&lt;=Assumptions!$B$8,"YES ✓",IF(K61&lt;=M61,"TEST","NO ✗"))</f>
        <v>YES ✓</v>
      </c>
      <c r="O61" s="8" t="s">
        <v>38</v>
      </c>
      <c r="P61" s="17" t="str">
        <f aca="false">IF(N61="YES ✓",IF(O61="English OK","🟢 LAUNCH","🟡 LAUNCH+LOC"),IF(N61="TEST",IF(O61="English OK","🟡 TEST","🟠 TEST+LOC"),"🔴 SKIP"))</f>
        <v>🟢 LAUNCH</v>
      </c>
    </row>
    <row r="62" customFormat="false" ht="15" hidden="false" customHeight="false" outlineLevel="0" collapsed="false">
      <c r="A62" s="8" t="s">
        <v>13</v>
      </c>
      <c r="B62" s="8" t="s">
        <v>45</v>
      </c>
      <c r="C62" s="8" t="s">
        <v>68</v>
      </c>
      <c r="D62" s="12" t="n">
        <v>2400</v>
      </c>
      <c r="E62" s="8" t="s">
        <v>75</v>
      </c>
      <c r="F62" s="13" t="n">
        <v>0.13</v>
      </c>
      <c r="G62" s="13" t="n">
        <v>0.81</v>
      </c>
      <c r="H62" s="14" t="n">
        <f aca="false">(F62+G62)/2</f>
        <v>0.47</v>
      </c>
      <c r="I62" s="15" t="n">
        <f aca="false">ROUND(Assumptions!$B$4/H62,0)</f>
        <v>1064</v>
      </c>
      <c r="J62" s="16" t="n">
        <f aca="false">ROUND(I62*Assumptions!$B$7,2)</f>
        <v>26.44</v>
      </c>
      <c r="K62" s="10" t="n">
        <f aca="false">IF(J62&gt;0,ROUND(Assumptions!$B$4/J62,0),9999)</f>
        <v>19</v>
      </c>
      <c r="L62" s="9" t="n">
        <v>106</v>
      </c>
      <c r="M62" s="10" t="n">
        <f aca="false">L62*Assumptions!$B$9</f>
        <v>47.7</v>
      </c>
      <c r="N62" s="17" t="str">
        <f aca="false">IF(K62&lt;=Assumptions!$B$8,"YES ✓",IF(K62&lt;=M62,"TEST","NO ✗"))</f>
        <v>YES ✓</v>
      </c>
      <c r="O62" s="8" t="s">
        <v>38</v>
      </c>
      <c r="P62" s="17" t="str">
        <f aca="false">IF(N62="YES ✓",IF(O62="English OK","🟢 LAUNCH","🟡 LAUNCH+LOC"),IF(N62="TEST",IF(O62="English OK","🟡 TEST","🟠 TEST+LOC"),"🔴 SKIP"))</f>
        <v>🟢 LAUNCH</v>
      </c>
    </row>
    <row r="63" customFormat="false" ht="15" hidden="false" customHeight="false" outlineLevel="0" collapsed="false">
      <c r="A63" s="8" t="s">
        <v>13</v>
      </c>
      <c r="B63" s="8" t="s">
        <v>45</v>
      </c>
      <c r="C63" s="8" t="s">
        <v>70</v>
      </c>
      <c r="D63" s="12" t="n">
        <v>480</v>
      </c>
      <c r="E63" s="8" t="s">
        <v>37</v>
      </c>
      <c r="F63" s="13" t="n">
        <v>0.08</v>
      </c>
      <c r="G63" s="13" t="n">
        <v>0.63</v>
      </c>
      <c r="H63" s="14" t="n">
        <f aca="false">(F63+G63)/2</f>
        <v>0.355</v>
      </c>
      <c r="I63" s="15" t="n">
        <f aca="false">ROUND(Assumptions!$B$4/H63,0)</f>
        <v>1408</v>
      </c>
      <c r="J63" s="16" t="n">
        <f aca="false">ROUND(I63*Assumptions!$B$7,2)</f>
        <v>34.99</v>
      </c>
      <c r="K63" s="10" t="n">
        <f aca="false">IF(J63&gt;0,ROUND(Assumptions!$B$4/J63,0),9999)</f>
        <v>14</v>
      </c>
      <c r="L63" s="9" t="n">
        <v>106</v>
      </c>
      <c r="M63" s="10" t="n">
        <f aca="false">L63*Assumptions!$B$9</f>
        <v>47.7</v>
      </c>
      <c r="N63" s="17" t="str">
        <f aca="false">IF(K63&lt;=Assumptions!$B$8,"YES ✓",IF(K63&lt;=M63,"TEST","NO ✗"))</f>
        <v>YES ✓</v>
      </c>
      <c r="O63" s="8" t="s">
        <v>38</v>
      </c>
      <c r="P63" s="17" t="str">
        <f aca="false">IF(N63="YES ✓",IF(O63="English OK","🟢 LAUNCH","🟡 LAUNCH+LOC"),IF(N63="TEST",IF(O63="English OK","🟡 TEST","🟠 TEST+LOC"),"🔴 SKIP"))</f>
        <v>🟢 LAUNCH</v>
      </c>
    </row>
    <row r="64" customFormat="false" ht="15" hidden="false" customHeight="false" outlineLevel="0" collapsed="false">
      <c r="A64" s="8" t="s">
        <v>13</v>
      </c>
      <c r="B64" s="8" t="s">
        <v>45</v>
      </c>
      <c r="C64" s="8" t="s">
        <v>71</v>
      </c>
      <c r="D64" s="12" t="n">
        <v>1300</v>
      </c>
      <c r="E64" s="8" t="s">
        <v>75</v>
      </c>
      <c r="F64" s="13" t="n">
        <v>0.09</v>
      </c>
      <c r="G64" s="13" t="n">
        <v>0.56</v>
      </c>
      <c r="H64" s="14" t="n">
        <f aca="false">(F64+G64)/2</f>
        <v>0.325</v>
      </c>
      <c r="I64" s="15" t="n">
        <f aca="false">ROUND(Assumptions!$B$4/H64,0)</f>
        <v>1538</v>
      </c>
      <c r="J64" s="16" t="n">
        <f aca="false">ROUND(I64*Assumptions!$B$7,2)</f>
        <v>38.22</v>
      </c>
      <c r="K64" s="10" t="n">
        <f aca="false">IF(J64&gt;0,ROUND(Assumptions!$B$4/J64,0),9999)</f>
        <v>13</v>
      </c>
      <c r="L64" s="9" t="n">
        <v>106</v>
      </c>
      <c r="M64" s="10" t="n">
        <f aca="false">L64*Assumptions!$B$9</f>
        <v>47.7</v>
      </c>
      <c r="N64" s="17" t="str">
        <f aca="false">IF(K64&lt;=Assumptions!$B$8,"YES ✓",IF(K64&lt;=M64,"TEST","NO ✗"))</f>
        <v>YES ✓</v>
      </c>
      <c r="O64" s="8" t="s">
        <v>38</v>
      </c>
      <c r="P64" s="17" t="str">
        <f aca="false">IF(N64="YES ✓",IF(O64="English OK","🟢 LAUNCH","🟡 LAUNCH+LOC"),IF(N64="TEST",IF(O64="English OK","🟡 TEST","🟠 TEST+LOC"),"🔴 SKIP"))</f>
        <v>🟢 LAUNCH</v>
      </c>
    </row>
    <row r="65" customFormat="false" ht="15" hidden="false" customHeight="false" outlineLevel="0" collapsed="false">
      <c r="A65" s="8" t="s">
        <v>13</v>
      </c>
      <c r="B65" s="8" t="s">
        <v>45</v>
      </c>
      <c r="C65" s="8" t="s">
        <v>72</v>
      </c>
      <c r="D65" s="12" t="n">
        <v>110</v>
      </c>
      <c r="E65" s="8" t="s">
        <v>37</v>
      </c>
      <c r="F65" s="13" t="n">
        <v>0.08</v>
      </c>
      <c r="G65" s="13" t="n">
        <v>0.58</v>
      </c>
      <c r="H65" s="14" t="n">
        <f aca="false">(F65+G65)/2</f>
        <v>0.33</v>
      </c>
      <c r="I65" s="15" t="n">
        <f aca="false">ROUND(Assumptions!$B$4/H65,0)</f>
        <v>1515</v>
      </c>
      <c r="J65" s="16" t="n">
        <f aca="false">ROUND(I65*Assumptions!$B$7,2)</f>
        <v>37.65</v>
      </c>
      <c r="K65" s="10" t="n">
        <f aca="false">IF(J65&gt;0,ROUND(Assumptions!$B$4/J65,0),9999)</f>
        <v>13</v>
      </c>
      <c r="L65" s="9" t="n">
        <v>106</v>
      </c>
      <c r="M65" s="10" t="n">
        <f aca="false">L65*Assumptions!$B$9</f>
        <v>47.7</v>
      </c>
      <c r="N65" s="17" t="str">
        <f aca="false">IF(K65&lt;=Assumptions!$B$8,"YES ✓",IF(K65&lt;=M65,"TEST","NO ✗"))</f>
        <v>YES ✓</v>
      </c>
      <c r="O65" s="8" t="s">
        <v>38</v>
      </c>
      <c r="P65" s="17" t="str">
        <f aca="false">IF(N65="YES ✓",IF(O65="English OK","🟢 LAUNCH","🟡 LAUNCH+LOC"),IF(N65="TEST",IF(O65="English OK","🟡 TEST","🟠 TEST+LOC"),"🔴 SKIP"))</f>
        <v>🟢 LAUNCH</v>
      </c>
    </row>
    <row r="66" customFormat="false" ht="15" hidden="false" customHeight="false" outlineLevel="0" collapsed="false">
      <c r="A66" s="8" t="s">
        <v>13</v>
      </c>
      <c r="B66" s="8" t="s">
        <v>45</v>
      </c>
      <c r="C66" s="8" t="s">
        <v>74</v>
      </c>
      <c r="D66" s="12" t="n">
        <v>210</v>
      </c>
      <c r="E66" s="8" t="s">
        <v>37</v>
      </c>
      <c r="F66" s="13" t="n">
        <v>0.1</v>
      </c>
      <c r="G66" s="13" t="n">
        <v>0.72</v>
      </c>
      <c r="H66" s="14" t="n">
        <f aca="false">(F66+G66)/2</f>
        <v>0.41</v>
      </c>
      <c r="I66" s="15" t="n">
        <f aca="false">ROUND(Assumptions!$B$4/H66,0)</f>
        <v>1220</v>
      </c>
      <c r="J66" s="16" t="n">
        <f aca="false">ROUND(I66*Assumptions!$B$7,2)</f>
        <v>30.32</v>
      </c>
      <c r="K66" s="10" t="n">
        <f aca="false">IF(J66&gt;0,ROUND(Assumptions!$B$4/J66,0),9999)</f>
        <v>16</v>
      </c>
      <c r="L66" s="9" t="n">
        <v>106</v>
      </c>
      <c r="M66" s="10" t="n">
        <f aca="false">L66*Assumptions!$B$9</f>
        <v>47.7</v>
      </c>
      <c r="N66" s="17" t="str">
        <f aca="false">IF(K66&lt;=Assumptions!$B$8,"YES ✓",IF(K66&lt;=M66,"TEST","NO ✗"))</f>
        <v>YES ✓</v>
      </c>
      <c r="O66" s="8" t="s">
        <v>38</v>
      </c>
      <c r="P66" s="17" t="str">
        <f aca="false">IF(N66="YES ✓",IF(O66="English OK","🟢 LAUNCH","🟡 LAUNCH+LOC"),IF(N66="TEST",IF(O66="English OK","🟡 TEST","🟠 TEST+LOC"),"🔴 SKIP"))</f>
        <v>🟢 LAUNCH</v>
      </c>
    </row>
    <row r="67" customFormat="false" ht="15" hidden="false" customHeight="false" outlineLevel="0" collapsed="false">
      <c r="A67" s="8" t="s">
        <v>13</v>
      </c>
      <c r="B67" s="8" t="s">
        <v>47</v>
      </c>
      <c r="C67" s="8" t="s">
        <v>67</v>
      </c>
      <c r="D67" s="12" t="n">
        <v>390</v>
      </c>
      <c r="E67" s="8" t="s">
        <v>76</v>
      </c>
      <c r="F67" s="13" t="n">
        <v>0.2</v>
      </c>
      <c r="G67" s="13" t="n">
        <v>3.19</v>
      </c>
      <c r="H67" s="14" t="n">
        <f aca="false">(F67+G67)/2</f>
        <v>1.695</v>
      </c>
      <c r="I67" s="15" t="n">
        <f aca="false">ROUND(Assumptions!$B$4/H67,0)</f>
        <v>295</v>
      </c>
      <c r="J67" s="16" t="n">
        <f aca="false">ROUND(I67*Assumptions!$B$7,2)</f>
        <v>7.33</v>
      </c>
      <c r="K67" s="10" t="n">
        <f aca="false">IF(J67&gt;0,ROUND(Assumptions!$B$4/J67,0),9999)</f>
        <v>68</v>
      </c>
      <c r="L67" s="9" t="n">
        <v>106</v>
      </c>
      <c r="M67" s="10" t="n">
        <f aca="false">L67*Assumptions!$B$9</f>
        <v>47.7</v>
      </c>
      <c r="N67" s="17" t="str">
        <f aca="false">IF(K67&lt;=Assumptions!$B$8,"YES ✓",IF(K67&lt;=M67,"TEST","NO ✗"))</f>
        <v>NO ✗</v>
      </c>
      <c r="O67" s="8" t="s">
        <v>49</v>
      </c>
      <c r="P67" s="17" t="str">
        <f aca="false">IF(N67="YES ✓",IF(O67="English OK","🟢 LAUNCH","🟡 LAUNCH+LOC"),IF(N67="TEST",IF(O67="English OK","🟡 TEST","🟠 TEST+LOC"),"🔴 SKIP"))</f>
        <v>🔴 SKIP</v>
      </c>
    </row>
    <row r="68" customFormat="false" ht="15" hidden="false" customHeight="false" outlineLevel="0" collapsed="false">
      <c r="A68" s="8" t="s">
        <v>13</v>
      </c>
      <c r="B68" s="8" t="s">
        <v>47</v>
      </c>
      <c r="C68" s="8" t="s">
        <v>68</v>
      </c>
      <c r="D68" s="12" t="n">
        <v>260</v>
      </c>
      <c r="E68" s="8" t="s">
        <v>58</v>
      </c>
      <c r="F68" s="13" t="n">
        <v>0.32</v>
      </c>
      <c r="G68" s="13" t="n">
        <v>1.43</v>
      </c>
      <c r="H68" s="14" t="n">
        <f aca="false">(F68+G68)/2</f>
        <v>0.875</v>
      </c>
      <c r="I68" s="15" t="n">
        <f aca="false">ROUND(Assumptions!$B$4/H68,0)</f>
        <v>571</v>
      </c>
      <c r="J68" s="16" t="n">
        <f aca="false">ROUND(I68*Assumptions!$B$7,2)</f>
        <v>14.19</v>
      </c>
      <c r="K68" s="10" t="n">
        <f aca="false">IF(J68&gt;0,ROUND(Assumptions!$B$4/J68,0),9999)</f>
        <v>35</v>
      </c>
      <c r="L68" s="9" t="n">
        <v>106</v>
      </c>
      <c r="M68" s="10" t="n">
        <f aca="false">L68*Assumptions!$B$9</f>
        <v>47.7</v>
      </c>
      <c r="N68" s="17" t="str">
        <f aca="false">IF(K68&lt;=Assumptions!$B$8,"YES ✓",IF(K68&lt;=M68,"TEST","NO ✗"))</f>
        <v>YES ✓</v>
      </c>
      <c r="O68" s="8" t="s">
        <v>49</v>
      </c>
      <c r="P68" s="17" t="str">
        <f aca="false">IF(N68="YES ✓",IF(O68="English OK","🟢 LAUNCH","🟡 LAUNCH+LOC"),IF(N68="TEST",IF(O68="English OK","🟡 TEST","🟠 TEST+LOC"),"🔴 SKIP"))</f>
        <v>🟡 LAUNCH+LOC</v>
      </c>
    </row>
    <row r="69" customFormat="false" ht="15" hidden="false" customHeight="false" outlineLevel="0" collapsed="false">
      <c r="A69" s="8" t="s">
        <v>13</v>
      </c>
      <c r="B69" s="8" t="s">
        <v>47</v>
      </c>
      <c r="C69" s="8" t="s">
        <v>70</v>
      </c>
      <c r="D69" s="12" t="n">
        <v>720</v>
      </c>
      <c r="E69" s="8" t="s">
        <v>77</v>
      </c>
      <c r="F69" s="13" t="n">
        <v>0.23</v>
      </c>
      <c r="G69" s="13" t="n">
        <v>1.42</v>
      </c>
      <c r="H69" s="14" t="n">
        <f aca="false">(F69+G69)/2</f>
        <v>0.825</v>
      </c>
      <c r="I69" s="15" t="n">
        <f aca="false">ROUND(Assumptions!$B$4/H69,0)</f>
        <v>606</v>
      </c>
      <c r="J69" s="16" t="n">
        <f aca="false">ROUND(I69*Assumptions!$B$7,2)</f>
        <v>15.06</v>
      </c>
      <c r="K69" s="10" t="n">
        <f aca="false">IF(J69&gt;0,ROUND(Assumptions!$B$4/J69,0),9999)</f>
        <v>33</v>
      </c>
      <c r="L69" s="9" t="n">
        <v>106</v>
      </c>
      <c r="M69" s="10" t="n">
        <f aca="false">L69*Assumptions!$B$9</f>
        <v>47.7</v>
      </c>
      <c r="N69" s="17" t="str">
        <f aca="false">IF(K69&lt;=Assumptions!$B$8,"YES ✓",IF(K69&lt;=M69,"TEST","NO ✗"))</f>
        <v>YES ✓</v>
      </c>
      <c r="O69" s="8" t="s">
        <v>49</v>
      </c>
      <c r="P69" s="17" t="str">
        <f aca="false">IF(N69="YES ✓",IF(O69="English OK","🟢 LAUNCH","🟡 LAUNCH+LOC"),IF(N69="TEST",IF(O69="English OK","🟡 TEST","🟠 TEST+LOC"),"🔴 SKIP"))</f>
        <v>🟡 LAUNCH+LOC</v>
      </c>
    </row>
    <row r="70" customFormat="false" ht="15" hidden="false" customHeight="false" outlineLevel="0" collapsed="false">
      <c r="A70" s="8" t="s">
        <v>13</v>
      </c>
      <c r="B70" s="8" t="s">
        <v>47</v>
      </c>
      <c r="C70" s="8" t="s">
        <v>71</v>
      </c>
      <c r="D70" s="12" t="n">
        <v>480</v>
      </c>
      <c r="E70" s="8" t="s">
        <v>58</v>
      </c>
      <c r="F70" s="13" t="n">
        <v>0.21</v>
      </c>
      <c r="G70" s="13" t="n">
        <v>1.49</v>
      </c>
      <c r="H70" s="14" t="n">
        <f aca="false">(F70+G70)/2</f>
        <v>0.85</v>
      </c>
      <c r="I70" s="15" t="n">
        <f aca="false">ROUND(Assumptions!$B$4/H70,0)</f>
        <v>588</v>
      </c>
      <c r="J70" s="16" t="n">
        <f aca="false">ROUND(I70*Assumptions!$B$7,2)</f>
        <v>14.61</v>
      </c>
      <c r="K70" s="10" t="n">
        <f aca="false">IF(J70&gt;0,ROUND(Assumptions!$B$4/J70,0),9999)</f>
        <v>34</v>
      </c>
      <c r="L70" s="9" t="n">
        <v>106</v>
      </c>
      <c r="M70" s="10" t="n">
        <f aca="false">L70*Assumptions!$B$9</f>
        <v>47.7</v>
      </c>
      <c r="N70" s="17" t="str">
        <f aca="false">IF(K70&lt;=Assumptions!$B$8,"YES ✓",IF(K70&lt;=M70,"TEST","NO ✗"))</f>
        <v>YES ✓</v>
      </c>
      <c r="O70" s="8" t="s">
        <v>49</v>
      </c>
      <c r="P70" s="17" t="str">
        <f aca="false">IF(N70="YES ✓",IF(O70="English OK","🟢 LAUNCH","🟡 LAUNCH+LOC"),IF(N70="TEST",IF(O70="English OK","🟡 TEST","🟠 TEST+LOC"),"🔴 SKIP"))</f>
        <v>🟡 LAUNCH+LOC</v>
      </c>
    </row>
    <row r="71" customFormat="false" ht="15" hidden="false" customHeight="false" outlineLevel="0" collapsed="false">
      <c r="A71" s="8" t="s">
        <v>13</v>
      </c>
      <c r="B71" s="8" t="s">
        <v>47</v>
      </c>
      <c r="C71" s="8" t="s">
        <v>72</v>
      </c>
      <c r="D71" s="12" t="n">
        <v>110</v>
      </c>
      <c r="E71" s="8" t="s">
        <v>52</v>
      </c>
      <c r="F71" s="13" t="n">
        <v>0.26</v>
      </c>
      <c r="G71" s="13" t="n">
        <v>1.11</v>
      </c>
      <c r="H71" s="14" t="n">
        <f aca="false">(F71+G71)/2</f>
        <v>0.685</v>
      </c>
      <c r="I71" s="15" t="n">
        <f aca="false">ROUND(Assumptions!$B$4/H71,0)</f>
        <v>730</v>
      </c>
      <c r="J71" s="16" t="n">
        <f aca="false">ROUND(I71*Assumptions!$B$7,2)</f>
        <v>18.14</v>
      </c>
      <c r="K71" s="10" t="n">
        <f aca="false">IF(J71&gt;0,ROUND(Assumptions!$B$4/J71,0),9999)</f>
        <v>28</v>
      </c>
      <c r="L71" s="9" t="n">
        <v>106</v>
      </c>
      <c r="M71" s="10" t="n">
        <f aca="false">L71*Assumptions!$B$9</f>
        <v>47.7</v>
      </c>
      <c r="N71" s="17" t="str">
        <f aca="false">IF(K71&lt;=Assumptions!$B$8,"YES ✓",IF(K71&lt;=M71,"TEST","NO ✗"))</f>
        <v>YES ✓</v>
      </c>
      <c r="O71" s="8" t="s">
        <v>49</v>
      </c>
      <c r="P71" s="17" t="str">
        <f aca="false">IF(N71="YES ✓",IF(O71="English OK","🟢 LAUNCH","🟡 LAUNCH+LOC"),IF(N71="TEST",IF(O71="English OK","🟡 TEST","🟠 TEST+LOC"),"🔴 SKIP"))</f>
        <v>🟡 LAUNCH+LOC</v>
      </c>
    </row>
    <row r="72" customFormat="false" ht="15" hidden="false" customHeight="false" outlineLevel="0" collapsed="false">
      <c r="A72" s="8" t="s">
        <v>13</v>
      </c>
      <c r="B72" s="8" t="s">
        <v>47</v>
      </c>
      <c r="C72" s="8" t="s">
        <v>74</v>
      </c>
      <c r="D72" s="12" t="n">
        <v>210</v>
      </c>
      <c r="E72" s="8" t="s">
        <v>58</v>
      </c>
      <c r="F72" s="13" t="n">
        <v>0.27</v>
      </c>
      <c r="G72" s="13" t="n">
        <v>1.41</v>
      </c>
      <c r="H72" s="14" t="n">
        <f aca="false">(F72+G72)/2</f>
        <v>0.84</v>
      </c>
      <c r="I72" s="15" t="n">
        <f aca="false">ROUND(Assumptions!$B$4/H72,0)</f>
        <v>595</v>
      </c>
      <c r="J72" s="16" t="n">
        <f aca="false">ROUND(I72*Assumptions!$B$7,2)</f>
        <v>14.79</v>
      </c>
      <c r="K72" s="10" t="n">
        <f aca="false">IF(J72&gt;0,ROUND(Assumptions!$B$4/J72,0),9999)</f>
        <v>34</v>
      </c>
      <c r="L72" s="9" t="n">
        <v>106</v>
      </c>
      <c r="M72" s="10" t="n">
        <f aca="false">L72*Assumptions!$B$9</f>
        <v>47.7</v>
      </c>
      <c r="N72" s="17" t="str">
        <f aca="false">IF(K72&lt;=Assumptions!$B$8,"YES ✓",IF(K72&lt;=M72,"TEST","NO ✗"))</f>
        <v>YES ✓</v>
      </c>
      <c r="O72" s="8" t="s">
        <v>49</v>
      </c>
      <c r="P72" s="17" t="str">
        <f aca="false">IF(N72="YES ✓",IF(O72="English OK","🟢 LAUNCH","🟡 LAUNCH+LOC"),IF(N72="TEST",IF(O72="English OK","🟡 TEST","🟠 TEST+LOC"),"🔴 SKIP"))</f>
        <v>🟡 LAUNCH+LOC</v>
      </c>
    </row>
    <row r="73" customFormat="false" ht="15" hidden="false" customHeight="false" outlineLevel="0" collapsed="false">
      <c r="A73" s="8" t="s">
        <v>13</v>
      </c>
      <c r="B73" s="8" t="s">
        <v>47</v>
      </c>
      <c r="C73" s="8" t="s">
        <v>73</v>
      </c>
      <c r="D73" s="12" t="n">
        <v>110</v>
      </c>
      <c r="E73" s="8" t="s">
        <v>78</v>
      </c>
      <c r="F73" s="13" t="n">
        <v>0.2</v>
      </c>
      <c r="G73" s="13" t="n">
        <v>1.31</v>
      </c>
      <c r="H73" s="14" t="n">
        <f aca="false">(F73+G73)/2</f>
        <v>0.755</v>
      </c>
      <c r="I73" s="15" t="n">
        <f aca="false">ROUND(Assumptions!$B$4/H73,0)</f>
        <v>662</v>
      </c>
      <c r="J73" s="16" t="n">
        <f aca="false">ROUND(I73*Assumptions!$B$7,2)</f>
        <v>16.45</v>
      </c>
      <c r="K73" s="10" t="n">
        <f aca="false">IF(J73&gt;0,ROUND(Assumptions!$B$4/J73,0),9999)</f>
        <v>30</v>
      </c>
      <c r="L73" s="9" t="n">
        <v>106</v>
      </c>
      <c r="M73" s="10" t="n">
        <f aca="false">L73*Assumptions!$B$9</f>
        <v>47.7</v>
      </c>
      <c r="N73" s="17" t="str">
        <f aca="false">IF(K73&lt;=Assumptions!$B$8,"YES ✓",IF(K73&lt;=M73,"TEST","NO ✗"))</f>
        <v>YES ✓</v>
      </c>
      <c r="O73" s="8" t="s">
        <v>49</v>
      </c>
      <c r="P73" s="17" t="str">
        <f aca="false">IF(N73="YES ✓",IF(O73="English OK","🟢 LAUNCH","🟡 LAUNCH+LOC"),IF(N73="TEST",IF(O73="English OK","🟡 TEST","🟠 TEST+LOC"),"🔴 SKIP"))</f>
        <v>🟡 LAUNCH+LOC</v>
      </c>
    </row>
    <row r="74" customFormat="false" ht="15" hidden="false" customHeight="false" outlineLevel="0" collapsed="false">
      <c r="A74" s="8" t="s">
        <v>13</v>
      </c>
      <c r="B74" s="8" t="s">
        <v>53</v>
      </c>
      <c r="C74" s="8" t="s">
        <v>67</v>
      </c>
      <c r="D74" s="12" t="n">
        <v>720</v>
      </c>
      <c r="E74" s="8" t="s">
        <v>37</v>
      </c>
      <c r="F74" s="13" t="n">
        <v>0.3</v>
      </c>
      <c r="G74" s="13" t="n">
        <v>2.24</v>
      </c>
      <c r="H74" s="14" t="n">
        <f aca="false">(F74+G74)/2</f>
        <v>1.27</v>
      </c>
      <c r="I74" s="15" t="n">
        <f aca="false">ROUND(Assumptions!$B$4/H74,0)</f>
        <v>394</v>
      </c>
      <c r="J74" s="16" t="n">
        <f aca="false">ROUND(I74*Assumptions!$B$7,2)</f>
        <v>9.79</v>
      </c>
      <c r="K74" s="10" t="n">
        <f aca="false">IF(J74&gt;0,ROUND(Assumptions!$B$4/J74,0),9999)</f>
        <v>51</v>
      </c>
      <c r="L74" s="9" t="n">
        <v>106</v>
      </c>
      <c r="M74" s="10" t="n">
        <f aca="false">L74*Assumptions!$B$9</f>
        <v>47.7</v>
      </c>
      <c r="N74" s="17" t="str">
        <f aca="false">IF(K74&lt;=Assumptions!$B$8,"YES ✓",IF(K74&lt;=M74,"TEST","NO ✗"))</f>
        <v>NO ✗</v>
      </c>
      <c r="O74" s="8" t="s">
        <v>38</v>
      </c>
      <c r="P74" s="17" t="str">
        <f aca="false">IF(N74="YES ✓",IF(O74="English OK","🟢 LAUNCH","🟡 LAUNCH+LOC"),IF(N74="TEST",IF(O74="English OK","🟡 TEST","🟠 TEST+LOC"),"🔴 SKIP"))</f>
        <v>🔴 SKIP</v>
      </c>
    </row>
    <row r="75" customFormat="false" ht="15" hidden="false" customHeight="false" outlineLevel="0" collapsed="false">
      <c r="A75" s="8" t="s">
        <v>13</v>
      </c>
      <c r="B75" s="8" t="s">
        <v>53</v>
      </c>
      <c r="C75" s="8" t="s">
        <v>68</v>
      </c>
      <c r="D75" s="12" t="n">
        <v>1900</v>
      </c>
      <c r="E75" s="8" t="s">
        <v>75</v>
      </c>
      <c r="F75" s="13" t="n">
        <v>0.22</v>
      </c>
      <c r="G75" s="13" t="n">
        <v>1.49</v>
      </c>
      <c r="H75" s="14" t="n">
        <f aca="false">(F75+G75)/2</f>
        <v>0.855</v>
      </c>
      <c r="I75" s="15" t="n">
        <f aca="false">ROUND(Assumptions!$B$4/H75,0)</f>
        <v>585</v>
      </c>
      <c r="J75" s="16" t="n">
        <f aca="false">ROUND(I75*Assumptions!$B$7,2)</f>
        <v>14.54</v>
      </c>
      <c r="K75" s="10" t="n">
        <f aca="false">IF(J75&gt;0,ROUND(Assumptions!$B$4/J75,0),9999)</f>
        <v>34</v>
      </c>
      <c r="L75" s="9" t="n">
        <v>106</v>
      </c>
      <c r="M75" s="10" t="n">
        <f aca="false">L75*Assumptions!$B$9</f>
        <v>47.7</v>
      </c>
      <c r="N75" s="17" t="str">
        <f aca="false">IF(K75&lt;=Assumptions!$B$8,"YES ✓",IF(K75&lt;=M75,"TEST","NO ✗"))</f>
        <v>YES ✓</v>
      </c>
      <c r="O75" s="8" t="s">
        <v>38</v>
      </c>
      <c r="P75" s="17" t="str">
        <f aca="false">IF(N75="YES ✓",IF(O75="English OK","🟢 LAUNCH","🟡 LAUNCH+LOC"),IF(N75="TEST",IF(O75="English OK","🟡 TEST","🟠 TEST+LOC"),"🔴 SKIP"))</f>
        <v>🟢 LAUNCH</v>
      </c>
    </row>
    <row r="76" customFormat="false" ht="15" hidden="false" customHeight="false" outlineLevel="0" collapsed="false">
      <c r="A76" s="8" t="s">
        <v>13</v>
      </c>
      <c r="B76" s="8" t="s">
        <v>53</v>
      </c>
      <c r="C76" s="8" t="s">
        <v>70</v>
      </c>
      <c r="D76" s="12" t="n">
        <v>1000</v>
      </c>
      <c r="E76" s="8" t="s">
        <v>37</v>
      </c>
      <c r="F76" s="13" t="n">
        <v>0.25</v>
      </c>
      <c r="G76" s="13" t="n">
        <v>1.66</v>
      </c>
      <c r="H76" s="14" t="n">
        <f aca="false">(F76+G76)/2</f>
        <v>0.955</v>
      </c>
      <c r="I76" s="15" t="n">
        <f aca="false">ROUND(Assumptions!$B$4/H76,0)</f>
        <v>524</v>
      </c>
      <c r="J76" s="16" t="n">
        <f aca="false">ROUND(I76*Assumptions!$B$7,2)</f>
        <v>13.02</v>
      </c>
      <c r="K76" s="10" t="n">
        <f aca="false">IF(J76&gt;0,ROUND(Assumptions!$B$4/J76,0),9999)</f>
        <v>38</v>
      </c>
      <c r="L76" s="9" t="n">
        <v>106</v>
      </c>
      <c r="M76" s="10" t="n">
        <f aca="false">L76*Assumptions!$B$9</f>
        <v>47.7</v>
      </c>
      <c r="N76" s="17" t="str">
        <f aca="false">IF(K76&lt;=Assumptions!$B$8,"YES ✓",IF(K76&lt;=M76,"TEST","NO ✗"))</f>
        <v>YES ✓</v>
      </c>
      <c r="O76" s="8" t="s">
        <v>38</v>
      </c>
      <c r="P76" s="17" t="str">
        <f aca="false">IF(N76="YES ✓",IF(O76="English OK","🟢 LAUNCH","🟡 LAUNCH+LOC"),IF(N76="TEST",IF(O76="English OK","🟡 TEST","🟠 TEST+LOC"),"🔴 SKIP"))</f>
        <v>🟢 LAUNCH</v>
      </c>
    </row>
    <row r="77" customFormat="false" ht="15" hidden="false" customHeight="false" outlineLevel="0" collapsed="false">
      <c r="A77" s="8" t="s">
        <v>13</v>
      </c>
      <c r="B77" s="8" t="s">
        <v>53</v>
      </c>
      <c r="C77" s="8" t="s">
        <v>71</v>
      </c>
      <c r="D77" s="12" t="n">
        <v>390</v>
      </c>
      <c r="E77" s="8" t="s">
        <v>37</v>
      </c>
      <c r="F77" s="13" t="n">
        <v>0.24</v>
      </c>
      <c r="G77" s="13" t="n">
        <v>1.55</v>
      </c>
      <c r="H77" s="14" t="n">
        <f aca="false">(F77+G77)/2</f>
        <v>0.895</v>
      </c>
      <c r="I77" s="15" t="n">
        <f aca="false">ROUND(Assumptions!$B$4/H77,0)</f>
        <v>559</v>
      </c>
      <c r="J77" s="16" t="n">
        <f aca="false">ROUND(I77*Assumptions!$B$7,2)</f>
        <v>13.89</v>
      </c>
      <c r="K77" s="10" t="n">
        <f aca="false">IF(J77&gt;0,ROUND(Assumptions!$B$4/J77,0),9999)</f>
        <v>36</v>
      </c>
      <c r="L77" s="9" t="n">
        <v>106</v>
      </c>
      <c r="M77" s="10" t="n">
        <f aca="false">L77*Assumptions!$B$9</f>
        <v>47.7</v>
      </c>
      <c r="N77" s="17" t="str">
        <f aca="false">IF(K77&lt;=Assumptions!$B$8,"YES ✓",IF(K77&lt;=M77,"TEST","NO ✗"))</f>
        <v>YES ✓</v>
      </c>
      <c r="O77" s="8" t="s">
        <v>38</v>
      </c>
      <c r="P77" s="17" t="str">
        <f aca="false">IF(N77="YES ✓",IF(O77="English OK","🟢 LAUNCH","🟡 LAUNCH+LOC"),IF(N77="TEST",IF(O77="English OK","🟡 TEST","🟠 TEST+LOC"),"🔴 SKIP"))</f>
        <v>🟢 LAUNCH</v>
      </c>
    </row>
    <row r="78" customFormat="false" ht="15" hidden="false" customHeight="false" outlineLevel="0" collapsed="false">
      <c r="A78" s="8" t="s">
        <v>13</v>
      </c>
      <c r="B78" s="8" t="s">
        <v>53</v>
      </c>
      <c r="C78" s="8" t="s">
        <v>72</v>
      </c>
      <c r="D78" s="12" t="n">
        <v>170</v>
      </c>
      <c r="E78" s="8" t="s">
        <v>37</v>
      </c>
      <c r="F78" s="13" t="n">
        <v>0.26</v>
      </c>
      <c r="G78" s="13" t="n">
        <v>1.45</v>
      </c>
      <c r="H78" s="14" t="n">
        <f aca="false">(F78+G78)/2</f>
        <v>0.855</v>
      </c>
      <c r="I78" s="15" t="n">
        <f aca="false">ROUND(Assumptions!$B$4/H78,0)</f>
        <v>585</v>
      </c>
      <c r="J78" s="16" t="n">
        <f aca="false">ROUND(I78*Assumptions!$B$7,2)</f>
        <v>14.54</v>
      </c>
      <c r="K78" s="10" t="n">
        <f aca="false">IF(J78&gt;0,ROUND(Assumptions!$B$4/J78,0),9999)</f>
        <v>34</v>
      </c>
      <c r="L78" s="9" t="n">
        <v>106</v>
      </c>
      <c r="M78" s="10" t="n">
        <f aca="false">L78*Assumptions!$B$9</f>
        <v>47.7</v>
      </c>
      <c r="N78" s="17" t="str">
        <f aca="false">IF(K78&lt;=Assumptions!$B$8,"YES ✓",IF(K78&lt;=M78,"TEST","NO ✗"))</f>
        <v>YES ✓</v>
      </c>
      <c r="O78" s="8" t="s">
        <v>38</v>
      </c>
      <c r="P78" s="17" t="str">
        <f aca="false">IF(N78="YES ✓",IF(O78="English OK","🟢 LAUNCH","🟡 LAUNCH+LOC"),IF(N78="TEST",IF(O78="English OK","🟡 TEST","🟠 TEST+LOC"),"🔴 SKIP"))</f>
        <v>🟢 LAUNCH</v>
      </c>
    </row>
    <row r="79" customFormat="false" ht="15" hidden="false" customHeight="false" outlineLevel="0" collapsed="false">
      <c r="A79" s="8" t="s">
        <v>13</v>
      </c>
      <c r="B79" s="8" t="s">
        <v>53</v>
      </c>
      <c r="C79" s="8" t="s">
        <v>74</v>
      </c>
      <c r="D79" s="12" t="n">
        <v>320</v>
      </c>
      <c r="E79" s="8" t="s">
        <v>37</v>
      </c>
      <c r="F79" s="13" t="n">
        <v>0.28</v>
      </c>
      <c r="G79" s="13" t="n">
        <v>1.72</v>
      </c>
      <c r="H79" s="14" t="n">
        <f aca="false">(F79+G79)/2</f>
        <v>1</v>
      </c>
      <c r="I79" s="15" t="n">
        <f aca="false">ROUND(Assumptions!$B$4/H79,0)</f>
        <v>500</v>
      </c>
      <c r="J79" s="16" t="n">
        <f aca="false">ROUND(I79*Assumptions!$B$7,2)</f>
        <v>12.43</v>
      </c>
      <c r="K79" s="10" t="n">
        <f aca="false">IF(J79&gt;0,ROUND(Assumptions!$B$4/J79,0),9999)</f>
        <v>40</v>
      </c>
      <c r="L79" s="9" t="n">
        <v>106</v>
      </c>
      <c r="M79" s="10" t="n">
        <f aca="false">L79*Assumptions!$B$9</f>
        <v>47.7</v>
      </c>
      <c r="N79" s="17" t="str">
        <f aca="false">IF(K79&lt;=Assumptions!$B$8,"YES ✓",IF(K79&lt;=M79,"TEST","NO ✗"))</f>
        <v>YES ✓</v>
      </c>
      <c r="O79" s="8" t="s">
        <v>38</v>
      </c>
      <c r="P79" s="17" t="str">
        <f aca="false">IF(N79="YES ✓",IF(O79="English OK","🟢 LAUNCH","🟡 LAUNCH+LOC"),IF(N79="TEST",IF(O79="English OK","🟡 TEST","🟠 TEST+LOC"),"🔴 SKIP"))</f>
        <v>🟢 LAUNCH</v>
      </c>
    </row>
    <row r="80" customFormat="false" ht="15" hidden="false" customHeight="false" outlineLevel="0" collapsed="false">
      <c r="A80" s="8" t="s">
        <v>13</v>
      </c>
      <c r="B80" s="8" t="s">
        <v>54</v>
      </c>
      <c r="C80" s="8" t="s">
        <v>67</v>
      </c>
      <c r="D80" s="12" t="n">
        <v>140</v>
      </c>
      <c r="E80" s="8" t="s">
        <v>75</v>
      </c>
      <c r="F80" s="13" t="n">
        <v>0.4</v>
      </c>
      <c r="G80" s="13" t="n">
        <v>2.24</v>
      </c>
      <c r="H80" s="14" t="n">
        <f aca="false">(F80+G80)/2</f>
        <v>1.32</v>
      </c>
      <c r="I80" s="15" t="n">
        <f aca="false">ROUND(Assumptions!$B$4/H80,0)</f>
        <v>379</v>
      </c>
      <c r="J80" s="16" t="n">
        <f aca="false">ROUND(I80*Assumptions!$B$7,2)</f>
        <v>9.42</v>
      </c>
      <c r="K80" s="10" t="n">
        <f aca="false">IF(J80&gt;0,ROUND(Assumptions!$B$4/J80,0),9999)</f>
        <v>53</v>
      </c>
      <c r="L80" s="9" t="n">
        <v>106</v>
      </c>
      <c r="M80" s="10" t="n">
        <f aca="false">L80*Assumptions!$B$9</f>
        <v>47.7</v>
      </c>
      <c r="N80" s="17" t="str">
        <f aca="false">IF(K80&lt;=Assumptions!$B$8,"YES ✓",IF(K80&lt;=M80,"TEST","NO ✗"))</f>
        <v>NO ✗</v>
      </c>
      <c r="O80" s="8" t="s">
        <v>38</v>
      </c>
      <c r="P80" s="17" t="str">
        <f aca="false">IF(N80="YES ✓",IF(O80="English OK","🟢 LAUNCH","🟡 LAUNCH+LOC"),IF(N80="TEST",IF(O80="English OK","🟡 TEST","🟠 TEST+LOC"),"🔴 SKIP"))</f>
        <v>🔴 SKIP</v>
      </c>
    </row>
    <row r="81" customFormat="false" ht="15" hidden="false" customHeight="false" outlineLevel="0" collapsed="false">
      <c r="A81" s="8" t="s">
        <v>13</v>
      </c>
      <c r="B81" s="8" t="s">
        <v>54</v>
      </c>
      <c r="C81" s="8" t="s">
        <v>68</v>
      </c>
      <c r="D81" s="12" t="n">
        <v>880</v>
      </c>
      <c r="E81" s="8" t="s">
        <v>37</v>
      </c>
      <c r="F81" s="13" t="n">
        <v>0.51</v>
      </c>
      <c r="G81" s="13" t="n">
        <v>4.19</v>
      </c>
      <c r="H81" s="14" t="n">
        <f aca="false">(F81+G81)/2</f>
        <v>2.35</v>
      </c>
      <c r="I81" s="15" t="n">
        <f aca="false">ROUND(Assumptions!$B$4/H81,0)</f>
        <v>213</v>
      </c>
      <c r="J81" s="16" t="n">
        <f aca="false">ROUND(I81*Assumptions!$B$7,2)</f>
        <v>5.29</v>
      </c>
      <c r="K81" s="10" t="n">
        <f aca="false">IF(J81&gt;0,ROUND(Assumptions!$B$4/J81,0),9999)</f>
        <v>95</v>
      </c>
      <c r="L81" s="9" t="n">
        <v>106</v>
      </c>
      <c r="M81" s="10" t="n">
        <f aca="false">L81*Assumptions!$B$9</f>
        <v>47.7</v>
      </c>
      <c r="N81" s="17" t="str">
        <f aca="false">IF(K81&lt;=Assumptions!$B$8,"YES ✓",IF(K81&lt;=M81,"TEST","NO ✗"))</f>
        <v>NO ✗</v>
      </c>
      <c r="O81" s="8" t="s">
        <v>38</v>
      </c>
      <c r="P81" s="17" t="str">
        <f aca="false">IF(N81="YES ✓",IF(O81="English OK","🟢 LAUNCH","🟡 LAUNCH+LOC"),IF(N81="TEST",IF(O81="English OK","🟡 TEST","🟠 TEST+LOC"),"🔴 SKIP"))</f>
        <v>🔴 SKIP</v>
      </c>
    </row>
    <row r="82" customFormat="false" ht="15" hidden="false" customHeight="false" outlineLevel="0" collapsed="false">
      <c r="A82" s="8" t="s">
        <v>13</v>
      </c>
      <c r="B82" s="8" t="s">
        <v>54</v>
      </c>
      <c r="C82" s="8" t="s">
        <v>70</v>
      </c>
      <c r="D82" s="12" t="n">
        <v>590</v>
      </c>
      <c r="E82" s="8" t="s">
        <v>48</v>
      </c>
      <c r="F82" s="13" t="n">
        <v>0.38</v>
      </c>
      <c r="G82" s="13" t="n">
        <v>2.43</v>
      </c>
      <c r="H82" s="14" t="n">
        <f aca="false">(F82+G82)/2</f>
        <v>1.405</v>
      </c>
      <c r="I82" s="15" t="n">
        <f aca="false">ROUND(Assumptions!$B$4/H82,0)</f>
        <v>356</v>
      </c>
      <c r="J82" s="16" t="n">
        <f aca="false">ROUND(I82*Assumptions!$B$7,2)</f>
        <v>8.85</v>
      </c>
      <c r="K82" s="10" t="n">
        <f aca="false">IF(J82&gt;0,ROUND(Assumptions!$B$4/J82,0),9999)</f>
        <v>56</v>
      </c>
      <c r="L82" s="9" t="n">
        <v>106</v>
      </c>
      <c r="M82" s="10" t="n">
        <f aca="false">L82*Assumptions!$B$9</f>
        <v>47.7</v>
      </c>
      <c r="N82" s="17" t="str">
        <f aca="false">IF(K82&lt;=Assumptions!$B$8,"YES ✓",IF(K82&lt;=M82,"TEST","NO ✗"))</f>
        <v>NO ✗</v>
      </c>
      <c r="O82" s="8" t="s">
        <v>38</v>
      </c>
      <c r="P82" s="17" t="str">
        <f aca="false">IF(N82="YES ✓",IF(O82="English OK","🟢 LAUNCH","🟡 LAUNCH+LOC"),IF(N82="TEST",IF(O82="English OK","🟡 TEST","🟠 TEST+LOC"),"🔴 SKIP"))</f>
        <v>🔴 SKIP</v>
      </c>
    </row>
    <row r="83" customFormat="false" ht="15" hidden="false" customHeight="false" outlineLevel="0" collapsed="false">
      <c r="A83" s="8" t="s">
        <v>13</v>
      </c>
      <c r="B83" s="8" t="s">
        <v>54</v>
      </c>
      <c r="C83" s="8" t="s">
        <v>71</v>
      </c>
      <c r="D83" s="12" t="n">
        <v>260</v>
      </c>
      <c r="E83" s="8" t="s">
        <v>37</v>
      </c>
      <c r="F83" s="13" t="n">
        <v>0.31</v>
      </c>
      <c r="G83" s="13" t="n">
        <v>1.71</v>
      </c>
      <c r="H83" s="14" t="n">
        <f aca="false">(F83+G83)/2</f>
        <v>1.01</v>
      </c>
      <c r="I83" s="15" t="n">
        <f aca="false">ROUND(Assumptions!$B$4/H83,0)</f>
        <v>495</v>
      </c>
      <c r="J83" s="16" t="n">
        <f aca="false">ROUND(I83*Assumptions!$B$7,2)</f>
        <v>12.3</v>
      </c>
      <c r="K83" s="10" t="n">
        <f aca="false">IF(J83&gt;0,ROUND(Assumptions!$B$4/J83,0),9999)</f>
        <v>41</v>
      </c>
      <c r="L83" s="9" t="n">
        <v>106</v>
      </c>
      <c r="M83" s="10" t="n">
        <f aca="false">L83*Assumptions!$B$9</f>
        <v>47.7</v>
      </c>
      <c r="N83" s="17" t="str">
        <f aca="false">IF(K83&lt;=Assumptions!$B$8,"YES ✓",IF(K83&lt;=M83,"TEST","NO ✗"))</f>
        <v>YES ✓</v>
      </c>
      <c r="O83" s="8" t="s">
        <v>38</v>
      </c>
      <c r="P83" s="17" t="str">
        <f aca="false">IF(N83="YES ✓",IF(O83="English OK","🟢 LAUNCH","🟡 LAUNCH+LOC"),IF(N83="TEST",IF(O83="English OK","🟡 TEST","🟠 TEST+LOC"),"🔴 SKIP"))</f>
        <v>🟢 LAUNCH</v>
      </c>
    </row>
    <row r="84" customFormat="false" ht="15" hidden="false" customHeight="false" outlineLevel="0" collapsed="false">
      <c r="A84" s="8" t="s">
        <v>13</v>
      </c>
      <c r="B84" s="8" t="s">
        <v>54</v>
      </c>
      <c r="C84" s="8" t="s">
        <v>72</v>
      </c>
      <c r="D84" s="12" t="n">
        <v>90</v>
      </c>
      <c r="E84" s="8" t="s">
        <v>37</v>
      </c>
      <c r="F84" s="13" t="n">
        <v>0.35</v>
      </c>
      <c r="G84" s="13" t="n">
        <v>1.95</v>
      </c>
      <c r="H84" s="14" t="n">
        <f aca="false">(F84+G84)/2</f>
        <v>1.15</v>
      </c>
      <c r="I84" s="15" t="n">
        <f aca="false">ROUND(Assumptions!$B$4/H84,0)</f>
        <v>435</v>
      </c>
      <c r="J84" s="16" t="n">
        <f aca="false">ROUND(I84*Assumptions!$B$7,2)</f>
        <v>10.81</v>
      </c>
      <c r="K84" s="10" t="n">
        <f aca="false">IF(J84&gt;0,ROUND(Assumptions!$B$4/J84,0),9999)</f>
        <v>46</v>
      </c>
      <c r="L84" s="9" t="n">
        <v>106</v>
      </c>
      <c r="M84" s="10" t="n">
        <f aca="false">L84*Assumptions!$B$9</f>
        <v>47.7</v>
      </c>
      <c r="N84" s="17" t="str">
        <f aca="false">IF(K84&lt;=Assumptions!$B$8,"YES ✓",IF(K84&lt;=M84,"TEST","NO ✗"))</f>
        <v>YES ✓</v>
      </c>
      <c r="O84" s="8" t="s">
        <v>38</v>
      </c>
      <c r="P84" s="17" t="str">
        <f aca="false">IF(N84="YES ✓",IF(O84="English OK","🟢 LAUNCH","🟡 LAUNCH+LOC"),IF(N84="TEST",IF(O84="English OK","🟡 TEST","🟠 TEST+LOC"),"🔴 SKIP"))</f>
        <v>🟢 LAUNCH</v>
      </c>
    </row>
    <row r="85" customFormat="false" ht="15" hidden="false" customHeight="false" outlineLevel="0" collapsed="false">
      <c r="A85" s="8" t="s">
        <v>13</v>
      </c>
      <c r="B85" s="8" t="s">
        <v>54</v>
      </c>
      <c r="C85" s="8" t="s">
        <v>74</v>
      </c>
      <c r="D85" s="12" t="n">
        <v>320</v>
      </c>
      <c r="E85" s="8" t="s">
        <v>37</v>
      </c>
      <c r="F85" s="13" t="n">
        <v>0.49</v>
      </c>
      <c r="G85" s="13" t="n">
        <v>3.3</v>
      </c>
      <c r="H85" s="14" t="n">
        <f aca="false">(F85+G85)/2</f>
        <v>1.895</v>
      </c>
      <c r="I85" s="15" t="n">
        <f aca="false">ROUND(Assumptions!$B$4/H85,0)</f>
        <v>264</v>
      </c>
      <c r="J85" s="16" t="n">
        <f aca="false">ROUND(I85*Assumptions!$B$7,2)</f>
        <v>6.56</v>
      </c>
      <c r="K85" s="10" t="n">
        <f aca="false">IF(J85&gt;0,ROUND(Assumptions!$B$4/J85,0),9999)</f>
        <v>76</v>
      </c>
      <c r="L85" s="9" t="n">
        <v>106</v>
      </c>
      <c r="M85" s="10" t="n">
        <f aca="false">L85*Assumptions!$B$9</f>
        <v>47.7</v>
      </c>
      <c r="N85" s="17" t="str">
        <f aca="false">IF(K85&lt;=Assumptions!$B$8,"YES ✓",IF(K85&lt;=M85,"TEST","NO ✗"))</f>
        <v>NO ✗</v>
      </c>
      <c r="O85" s="8" t="s">
        <v>38</v>
      </c>
      <c r="P85" s="17" t="str">
        <f aca="false">IF(N85="YES ✓",IF(O85="English OK","🟢 LAUNCH","🟡 LAUNCH+LOC"),IF(N85="TEST",IF(O85="English OK","🟡 TEST","🟠 TEST+LOC"),"🔴 SKIP"))</f>
        <v>🔴 SKIP</v>
      </c>
    </row>
    <row r="86" customFormat="false" ht="15" hidden="false" customHeight="false" outlineLevel="0" collapsed="false">
      <c r="A86" s="8" t="s">
        <v>13</v>
      </c>
      <c r="B86" s="8" t="s">
        <v>56</v>
      </c>
      <c r="C86" s="8" t="s">
        <v>67</v>
      </c>
      <c r="D86" s="12" t="n">
        <v>110</v>
      </c>
      <c r="E86" s="8" t="s">
        <v>78</v>
      </c>
      <c r="F86" s="13" t="n">
        <v>0.14</v>
      </c>
      <c r="G86" s="13" t="n">
        <v>1.42</v>
      </c>
      <c r="H86" s="14" t="n">
        <f aca="false">(F86+G86)/2</f>
        <v>0.78</v>
      </c>
      <c r="I86" s="15" t="n">
        <f aca="false">ROUND(Assumptions!$B$4/H86,0)</f>
        <v>641</v>
      </c>
      <c r="J86" s="16" t="n">
        <f aca="false">ROUND(I86*Assumptions!$B$7,2)</f>
        <v>15.93</v>
      </c>
      <c r="K86" s="10" t="n">
        <f aca="false">IF(J86&gt;0,ROUND(Assumptions!$B$4/J86,0),9999)</f>
        <v>31</v>
      </c>
      <c r="L86" s="9" t="n">
        <v>106</v>
      </c>
      <c r="M86" s="10" t="n">
        <f aca="false">L86*Assumptions!$B$9</f>
        <v>47.7</v>
      </c>
      <c r="N86" s="17" t="str">
        <f aca="false">IF(K86&lt;=Assumptions!$B$8,"YES ✓",IF(K86&lt;=M86,"TEST","NO ✗"))</f>
        <v>YES ✓</v>
      </c>
      <c r="O86" s="8" t="s">
        <v>49</v>
      </c>
      <c r="P86" s="17" t="str">
        <f aca="false">IF(N86="YES ✓",IF(O86="English OK","🟢 LAUNCH","🟡 LAUNCH+LOC"),IF(N86="TEST",IF(O86="English OK","🟡 TEST","🟠 TEST+LOC"),"🔴 SKIP"))</f>
        <v>🟡 LAUNCH+LOC</v>
      </c>
    </row>
    <row r="87" customFormat="false" ht="15" hidden="false" customHeight="false" outlineLevel="0" collapsed="false">
      <c r="A87" s="8" t="s">
        <v>13</v>
      </c>
      <c r="B87" s="8" t="s">
        <v>56</v>
      </c>
      <c r="C87" s="8" t="s">
        <v>68</v>
      </c>
      <c r="D87" s="12" t="n">
        <v>320</v>
      </c>
      <c r="E87" s="8" t="s">
        <v>76</v>
      </c>
      <c r="F87" s="13" t="n">
        <v>0.31</v>
      </c>
      <c r="G87" s="13" t="n">
        <v>2.91</v>
      </c>
      <c r="H87" s="14" t="n">
        <f aca="false">(F87+G87)/2</f>
        <v>1.61</v>
      </c>
      <c r="I87" s="15" t="n">
        <f aca="false">ROUND(Assumptions!$B$4/H87,0)</f>
        <v>311</v>
      </c>
      <c r="J87" s="16" t="n">
        <f aca="false">ROUND(I87*Assumptions!$B$7,2)</f>
        <v>7.73</v>
      </c>
      <c r="K87" s="10" t="n">
        <f aca="false">IF(J87&gt;0,ROUND(Assumptions!$B$4/J87,0),9999)</f>
        <v>65</v>
      </c>
      <c r="L87" s="9" t="n">
        <v>106</v>
      </c>
      <c r="M87" s="10" t="n">
        <f aca="false">L87*Assumptions!$B$9</f>
        <v>47.7</v>
      </c>
      <c r="N87" s="17" t="str">
        <f aca="false">IF(K87&lt;=Assumptions!$B$8,"YES ✓",IF(K87&lt;=M87,"TEST","NO ✗"))</f>
        <v>NO ✗</v>
      </c>
      <c r="O87" s="8" t="s">
        <v>49</v>
      </c>
      <c r="P87" s="17" t="str">
        <f aca="false">IF(N87="YES ✓",IF(O87="English OK","🟢 LAUNCH","🟡 LAUNCH+LOC"),IF(N87="TEST",IF(O87="English OK","🟡 TEST","🟠 TEST+LOC"),"🔴 SKIP"))</f>
        <v>🔴 SKIP</v>
      </c>
    </row>
    <row r="88" customFormat="false" ht="15" hidden="false" customHeight="false" outlineLevel="0" collapsed="false">
      <c r="A88" s="8" t="s">
        <v>13</v>
      </c>
      <c r="B88" s="8" t="s">
        <v>56</v>
      </c>
      <c r="C88" s="8" t="s">
        <v>70</v>
      </c>
      <c r="D88" s="12" t="n">
        <v>480</v>
      </c>
      <c r="E88" s="8" t="s">
        <v>37</v>
      </c>
      <c r="F88" s="13" t="n">
        <v>0.26</v>
      </c>
      <c r="G88" s="13" t="n">
        <v>2.18</v>
      </c>
      <c r="H88" s="14" t="n">
        <f aca="false">(F88+G88)/2</f>
        <v>1.22</v>
      </c>
      <c r="I88" s="15" t="n">
        <f aca="false">ROUND(Assumptions!$B$4/H88,0)</f>
        <v>410</v>
      </c>
      <c r="J88" s="16" t="n">
        <f aca="false">ROUND(I88*Assumptions!$B$7,2)</f>
        <v>10.19</v>
      </c>
      <c r="K88" s="10" t="n">
        <f aca="false">IF(J88&gt;0,ROUND(Assumptions!$B$4/J88,0),9999)</f>
        <v>49</v>
      </c>
      <c r="L88" s="9" t="n">
        <v>106</v>
      </c>
      <c r="M88" s="10" t="n">
        <f aca="false">L88*Assumptions!$B$9</f>
        <v>47.7</v>
      </c>
      <c r="N88" s="17" t="str">
        <f aca="false">IF(K88&lt;=Assumptions!$B$8,"YES ✓",IF(K88&lt;=M88,"TEST","NO ✗"))</f>
        <v>YES ✓</v>
      </c>
      <c r="O88" s="8" t="s">
        <v>49</v>
      </c>
      <c r="P88" s="17" t="str">
        <f aca="false">IF(N88="YES ✓",IF(O88="English OK","🟢 LAUNCH","🟡 LAUNCH+LOC"),IF(N88="TEST",IF(O88="English OK","🟡 TEST","🟠 TEST+LOC"),"🔴 SKIP"))</f>
        <v>🟡 LAUNCH+LOC</v>
      </c>
    </row>
    <row r="89" customFormat="false" ht="15" hidden="false" customHeight="false" outlineLevel="0" collapsed="false">
      <c r="A89" s="8" t="s">
        <v>13</v>
      </c>
      <c r="B89" s="8" t="s">
        <v>56</v>
      </c>
      <c r="C89" s="8" t="s">
        <v>71</v>
      </c>
      <c r="D89" s="12" t="n">
        <v>170</v>
      </c>
      <c r="E89" s="8" t="s">
        <v>37</v>
      </c>
      <c r="F89" s="13" t="n">
        <v>0.28</v>
      </c>
      <c r="G89" s="13" t="n">
        <v>2.35</v>
      </c>
      <c r="H89" s="14" t="n">
        <f aca="false">(F89+G89)/2</f>
        <v>1.315</v>
      </c>
      <c r="I89" s="15" t="n">
        <f aca="false">ROUND(Assumptions!$B$4/H89,0)</f>
        <v>380</v>
      </c>
      <c r="J89" s="16" t="n">
        <f aca="false">ROUND(I89*Assumptions!$B$7,2)</f>
        <v>9.44</v>
      </c>
      <c r="K89" s="10" t="n">
        <f aca="false">IF(J89&gt;0,ROUND(Assumptions!$B$4/J89,0),9999)</f>
        <v>53</v>
      </c>
      <c r="L89" s="9" t="n">
        <v>106</v>
      </c>
      <c r="M89" s="10" t="n">
        <f aca="false">L89*Assumptions!$B$9</f>
        <v>47.7</v>
      </c>
      <c r="N89" s="17" t="str">
        <f aca="false">IF(K89&lt;=Assumptions!$B$8,"YES ✓",IF(K89&lt;=M89,"TEST","NO ✗"))</f>
        <v>NO ✗</v>
      </c>
      <c r="O89" s="8" t="s">
        <v>49</v>
      </c>
      <c r="P89" s="17" t="str">
        <f aca="false">IF(N89="YES ✓",IF(O89="English OK","🟢 LAUNCH","🟡 LAUNCH+LOC"),IF(N89="TEST",IF(O89="English OK","🟡 TEST","🟠 TEST+LOC"),"🔴 SKIP"))</f>
        <v>🔴 SKIP</v>
      </c>
    </row>
    <row r="90" customFormat="false" ht="15" hidden="false" customHeight="false" outlineLevel="0" collapsed="false">
      <c r="A90" s="8" t="s">
        <v>13</v>
      </c>
      <c r="B90" s="8" t="s">
        <v>56</v>
      </c>
      <c r="C90" s="8" t="s">
        <v>74</v>
      </c>
      <c r="D90" s="12" t="n">
        <v>260</v>
      </c>
      <c r="E90" s="8" t="s">
        <v>79</v>
      </c>
      <c r="F90" s="13" t="n">
        <v>0.27</v>
      </c>
      <c r="G90" s="13" t="n">
        <v>2.77</v>
      </c>
      <c r="H90" s="14" t="n">
        <f aca="false">(F90+G90)/2</f>
        <v>1.52</v>
      </c>
      <c r="I90" s="15" t="n">
        <f aca="false">ROUND(Assumptions!$B$4/H90,0)</f>
        <v>329</v>
      </c>
      <c r="J90" s="16" t="n">
        <f aca="false">ROUND(I90*Assumptions!$B$7,2)</f>
        <v>8.18</v>
      </c>
      <c r="K90" s="10" t="n">
        <f aca="false">IF(J90&gt;0,ROUND(Assumptions!$B$4/J90,0),9999)</f>
        <v>61</v>
      </c>
      <c r="L90" s="9" t="n">
        <v>106</v>
      </c>
      <c r="M90" s="10" t="n">
        <f aca="false">L90*Assumptions!$B$9</f>
        <v>47.7</v>
      </c>
      <c r="N90" s="17" t="str">
        <f aca="false">IF(K90&lt;=Assumptions!$B$8,"YES ✓",IF(K90&lt;=M90,"TEST","NO ✗"))</f>
        <v>NO ✗</v>
      </c>
      <c r="O90" s="8" t="s">
        <v>49</v>
      </c>
      <c r="P90" s="17" t="str">
        <f aca="false">IF(N90="YES ✓",IF(O90="English OK","🟢 LAUNCH","🟡 LAUNCH+LOC"),IF(N90="TEST",IF(O90="English OK","🟡 TEST","🟠 TEST+LOC"),"🔴 SKIP"))</f>
        <v>🔴 SKIP</v>
      </c>
    </row>
    <row r="91" customFormat="false" ht="15" hidden="false" customHeight="false" outlineLevel="0" collapsed="false">
      <c r="A91" s="8" t="s">
        <v>13</v>
      </c>
      <c r="B91" s="8" t="s">
        <v>59</v>
      </c>
      <c r="C91" s="8" t="s">
        <v>67</v>
      </c>
      <c r="D91" s="12" t="n">
        <v>880</v>
      </c>
      <c r="E91" s="8" t="s">
        <v>80</v>
      </c>
      <c r="F91" s="13" t="n">
        <v>0.21</v>
      </c>
      <c r="G91" s="13" t="n">
        <v>2.48</v>
      </c>
      <c r="H91" s="14" t="n">
        <f aca="false">(F91+G91)/2</f>
        <v>1.345</v>
      </c>
      <c r="I91" s="15" t="n">
        <f aca="false">ROUND(Assumptions!$B$4/H91,0)</f>
        <v>372</v>
      </c>
      <c r="J91" s="16" t="n">
        <f aca="false">ROUND(I91*Assumptions!$B$7,2)</f>
        <v>9.24</v>
      </c>
      <c r="K91" s="10" t="n">
        <f aca="false">IF(J91&gt;0,ROUND(Assumptions!$B$4/J91,0),9999)</f>
        <v>54</v>
      </c>
      <c r="L91" s="9" t="n">
        <v>106</v>
      </c>
      <c r="M91" s="10" t="n">
        <f aca="false">L91*Assumptions!$B$9</f>
        <v>47.7</v>
      </c>
      <c r="N91" s="17" t="str">
        <f aca="false">IF(K91&lt;=Assumptions!$B$8,"YES ✓",IF(K91&lt;=M91,"TEST","NO ✗"))</f>
        <v>NO ✗</v>
      </c>
      <c r="O91" s="8" t="s">
        <v>38</v>
      </c>
      <c r="P91" s="17" t="str">
        <f aca="false">IF(N91="YES ✓",IF(O91="English OK","🟢 LAUNCH","🟡 LAUNCH+LOC"),IF(N91="TEST",IF(O91="English OK","🟡 TEST","🟠 TEST+LOC"),"🔴 SKIP"))</f>
        <v>🔴 SKIP</v>
      </c>
    </row>
    <row r="92" customFormat="false" ht="15" hidden="false" customHeight="false" outlineLevel="0" collapsed="false">
      <c r="A92" s="8" t="s">
        <v>13</v>
      </c>
      <c r="B92" s="8" t="s">
        <v>59</v>
      </c>
      <c r="C92" s="8" t="s">
        <v>68</v>
      </c>
      <c r="D92" s="12" t="n">
        <v>9900</v>
      </c>
      <c r="E92" s="8" t="s">
        <v>37</v>
      </c>
      <c r="F92" s="13" t="n">
        <v>0.18</v>
      </c>
      <c r="G92" s="13" t="n">
        <v>2.42</v>
      </c>
      <c r="H92" s="14" t="n">
        <f aca="false">(F92+G92)/2</f>
        <v>1.3</v>
      </c>
      <c r="I92" s="15" t="n">
        <f aca="false">ROUND(Assumptions!$B$4/H92,0)</f>
        <v>385</v>
      </c>
      <c r="J92" s="16" t="n">
        <f aca="false">ROUND(I92*Assumptions!$B$7,2)</f>
        <v>9.57</v>
      </c>
      <c r="K92" s="10" t="n">
        <f aca="false">IF(J92&gt;0,ROUND(Assumptions!$B$4/J92,0),9999)</f>
        <v>52</v>
      </c>
      <c r="L92" s="9" t="n">
        <v>106</v>
      </c>
      <c r="M92" s="10" t="n">
        <f aca="false">L92*Assumptions!$B$9</f>
        <v>47.7</v>
      </c>
      <c r="N92" s="17" t="str">
        <f aca="false">IF(K92&lt;=Assumptions!$B$8,"YES ✓",IF(K92&lt;=M92,"TEST","NO ✗"))</f>
        <v>NO ✗</v>
      </c>
      <c r="O92" s="8" t="s">
        <v>38</v>
      </c>
      <c r="P92" s="17" t="str">
        <f aca="false">IF(N92="YES ✓",IF(O92="English OK","🟢 LAUNCH","🟡 LAUNCH+LOC"),IF(N92="TEST",IF(O92="English OK","🟡 TEST","🟠 TEST+LOC"),"🔴 SKIP"))</f>
        <v>🔴 SKIP</v>
      </c>
    </row>
    <row r="93" customFormat="false" ht="15" hidden="false" customHeight="false" outlineLevel="0" collapsed="false">
      <c r="A93" s="8" t="s">
        <v>13</v>
      </c>
      <c r="B93" s="8" t="s">
        <v>59</v>
      </c>
      <c r="C93" s="8" t="s">
        <v>70</v>
      </c>
      <c r="D93" s="12" t="n">
        <v>2400</v>
      </c>
      <c r="E93" s="8" t="s">
        <v>37</v>
      </c>
      <c r="F93" s="13" t="n">
        <v>0.17</v>
      </c>
      <c r="G93" s="13" t="n">
        <v>2.71</v>
      </c>
      <c r="H93" s="14" t="n">
        <f aca="false">(F93+G93)/2</f>
        <v>1.44</v>
      </c>
      <c r="I93" s="15" t="n">
        <f aca="false">ROUND(Assumptions!$B$4/H93,0)</f>
        <v>347</v>
      </c>
      <c r="J93" s="16" t="n">
        <f aca="false">ROUND(I93*Assumptions!$B$7,2)</f>
        <v>8.62</v>
      </c>
      <c r="K93" s="10" t="n">
        <f aca="false">IF(J93&gt;0,ROUND(Assumptions!$B$4/J93,0),9999)</f>
        <v>58</v>
      </c>
      <c r="L93" s="9" t="n">
        <v>106</v>
      </c>
      <c r="M93" s="10" t="n">
        <f aca="false">L93*Assumptions!$B$9</f>
        <v>47.7</v>
      </c>
      <c r="N93" s="17" t="str">
        <f aca="false">IF(K93&lt;=Assumptions!$B$8,"YES ✓",IF(K93&lt;=M93,"TEST","NO ✗"))</f>
        <v>NO ✗</v>
      </c>
      <c r="O93" s="8" t="s">
        <v>38</v>
      </c>
      <c r="P93" s="17" t="str">
        <f aca="false">IF(N93="YES ✓",IF(O93="English OK","🟢 LAUNCH","🟡 LAUNCH+LOC"),IF(N93="TEST",IF(O93="English OK","🟡 TEST","🟠 TEST+LOC"),"🔴 SKIP"))</f>
        <v>🔴 SKIP</v>
      </c>
    </row>
    <row r="94" customFormat="false" ht="15" hidden="false" customHeight="false" outlineLevel="0" collapsed="false">
      <c r="A94" s="8" t="s">
        <v>13</v>
      </c>
      <c r="B94" s="8" t="s">
        <v>59</v>
      </c>
      <c r="C94" s="8" t="s">
        <v>71</v>
      </c>
      <c r="D94" s="12" t="n">
        <v>720</v>
      </c>
      <c r="E94" s="8" t="s">
        <v>37</v>
      </c>
      <c r="F94" s="13" t="n">
        <v>0.19</v>
      </c>
      <c r="G94" s="13" t="n">
        <v>2.55</v>
      </c>
      <c r="H94" s="14" t="n">
        <f aca="false">(F94+G94)/2</f>
        <v>1.37</v>
      </c>
      <c r="I94" s="15" t="n">
        <f aca="false">ROUND(Assumptions!$B$4/H94,0)</f>
        <v>365</v>
      </c>
      <c r="J94" s="16" t="n">
        <f aca="false">ROUND(I94*Assumptions!$B$7,2)</f>
        <v>9.07</v>
      </c>
      <c r="K94" s="10" t="n">
        <f aca="false">IF(J94&gt;0,ROUND(Assumptions!$B$4/J94,0),9999)</f>
        <v>55</v>
      </c>
      <c r="L94" s="9" t="n">
        <v>106</v>
      </c>
      <c r="M94" s="10" t="n">
        <f aca="false">L94*Assumptions!$B$9</f>
        <v>47.7</v>
      </c>
      <c r="N94" s="17" t="str">
        <f aca="false">IF(K94&lt;=Assumptions!$B$8,"YES ✓",IF(K94&lt;=M94,"TEST","NO ✗"))</f>
        <v>NO ✗</v>
      </c>
      <c r="O94" s="8" t="s">
        <v>38</v>
      </c>
      <c r="P94" s="17" t="str">
        <f aca="false">IF(N94="YES ✓",IF(O94="English OK","🟢 LAUNCH","🟡 LAUNCH+LOC"),IF(N94="TEST",IF(O94="English OK","🟡 TEST","🟠 TEST+LOC"),"🔴 SKIP"))</f>
        <v>🔴 SKIP</v>
      </c>
    </row>
    <row r="95" customFormat="false" ht="15" hidden="false" customHeight="false" outlineLevel="0" collapsed="false">
      <c r="A95" s="8" t="s">
        <v>13</v>
      </c>
      <c r="B95" s="8" t="s">
        <v>59</v>
      </c>
      <c r="C95" s="8" t="s">
        <v>72</v>
      </c>
      <c r="D95" s="12" t="n">
        <v>390</v>
      </c>
      <c r="E95" s="8" t="s">
        <v>37</v>
      </c>
      <c r="F95" s="13" t="n">
        <v>0.18</v>
      </c>
      <c r="G95" s="13" t="n">
        <v>2.35</v>
      </c>
      <c r="H95" s="14" t="n">
        <f aca="false">(F95+G95)/2</f>
        <v>1.265</v>
      </c>
      <c r="I95" s="15" t="n">
        <f aca="false">ROUND(Assumptions!$B$4/H95,0)</f>
        <v>395</v>
      </c>
      <c r="J95" s="16" t="n">
        <f aca="false">ROUND(I95*Assumptions!$B$7,2)</f>
        <v>9.82</v>
      </c>
      <c r="K95" s="10" t="n">
        <f aca="false">IF(J95&gt;0,ROUND(Assumptions!$B$4/J95,0),9999)</f>
        <v>51</v>
      </c>
      <c r="L95" s="9" t="n">
        <v>106</v>
      </c>
      <c r="M95" s="10" t="n">
        <f aca="false">L95*Assumptions!$B$9</f>
        <v>47.7</v>
      </c>
      <c r="N95" s="17" t="str">
        <f aca="false">IF(K95&lt;=Assumptions!$B$8,"YES ✓",IF(K95&lt;=M95,"TEST","NO ✗"))</f>
        <v>NO ✗</v>
      </c>
      <c r="O95" s="8" t="s">
        <v>38</v>
      </c>
      <c r="P95" s="17" t="str">
        <f aca="false">IF(N95="YES ✓",IF(O95="English OK","🟢 LAUNCH","🟡 LAUNCH+LOC"),IF(N95="TEST",IF(O95="English OK","🟡 TEST","🟠 TEST+LOC"),"🔴 SKIP"))</f>
        <v>🔴 SKIP</v>
      </c>
    </row>
    <row r="96" customFormat="false" ht="15" hidden="false" customHeight="false" outlineLevel="0" collapsed="false">
      <c r="A96" s="8" t="s">
        <v>13</v>
      </c>
      <c r="B96" s="8" t="s">
        <v>60</v>
      </c>
      <c r="C96" s="8" t="s">
        <v>67</v>
      </c>
      <c r="D96" s="12" t="n">
        <v>320</v>
      </c>
      <c r="E96" s="8" t="s">
        <v>37</v>
      </c>
      <c r="F96" s="13" t="n">
        <v>0.3</v>
      </c>
      <c r="G96" s="13" t="n">
        <v>2.85</v>
      </c>
      <c r="H96" s="14" t="n">
        <f aca="false">(F96+G96)/2</f>
        <v>1.575</v>
      </c>
      <c r="I96" s="15" t="n">
        <f aca="false">ROUND(Assumptions!$B$4/H96,0)</f>
        <v>317</v>
      </c>
      <c r="J96" s="16" t="n">
        <f aca="false">ROUND(I96*Assumptions!$B$7,2)</f>
        <v>7.88</v>
      </c>
      <c r="K96" s="10" t="n">
        <f aca="false">IF(J96&gt;0,ROUND(Assumptions!$B$4/J96,0),9999)</f>
        <v>63</v>
      </c>
      <c r="L96" s="9" t="n">
        <v>106</v>
      </c>
      <c r="M96" s="10" t="n">
        <f aca="false">L96*Assumptions!$B$9</f>
        <v>47.7</v>
      </c>
      <c r="N96" s="17" t="str">
        <f aca="false">IF(K96&lt;=Assumptions!$B$8,"YES ✓",IF(K96&lt;=M96,"TEST","NO ✗"))</f>
        <v>NO ✗</v>
      </c>
      <c r="O96" s="8" t="s">
        <v>49</v>
      </c>
      <c r="P96" s="17" t="str">
        <f aca="false">IF(N96="YES ✓",IF(O96="English OK","🟢 LAUNCH","🟡 LAUNCH+LOC"),IF(N96="TEST",IF(O96="English OK","🟡 TEST","🟠 TEST+LOC"),"🔴 SKIP"))</f>
        <v>🔴 SKIP</v>
      </c>
    </row>
    <row r="97" customFormat="false" ht="15" hidden="false" customHeight="false" outlineLevel="0" collapsed="false">
      <c r="A97" s="8" t="s">
        <v>13</v>
      </c>
      <c r="B97" s="8" t="s">
        <v>60</v>
      </c>
      <c r="C97" s="8" t="s">
        <v>68</v>
      </c>
      <c r="D97" s="12" t="n">
        <v>1900</v>
      </c>
      <c r="E97" s="8" t="s">
        <v>37</v>
      </c>
      <c r="F97" s="13" t="n">
        <v>0.28</v>
      </c>
      <c r="G97" s="13" t="n">
        <v>2.6</v>
      </c>
      <c r="H97" s="14" t="n">
        <f aca="false">(F97+G97)/2</f>
        <v>1.44</v>
      </c>
      <c r="I97" s="15" t="n">
        <f aca="false">ROUND(Assumptions!$B$4/H97,0)</f>
        <v>347</v>
      </c>
      <c r="J97" s="16" t="n">
        <f aca="false">ROUND(I97*Assumptions!$B$7,2)</f>
        <v>8.62</v>
      </c>
      <c r="K97" s="10" t="n">
        <f aca="false">IF(J97&gt;0,ROUND(Assumptions!$B$4/J97,0),9999)</f>
        <v>58</v>
      </c>
      <c r="L97" s="9" t="n">
        <v>106</v>
      </c>
      <c r="M97" s="10" t="n">
        <f aca="false">L97*Assumptions!$B$9</f>
        <v>47.7</v>
      </c>
      <c r="N97" s="17" t="str">
        <f aca="false">IF(K97&lt;=Assumptions!$B$8,"YES ✓",IF(K97&lt;=M97,"TEST","NO ✗"))</f>
        <v>NO ✗</v>
      </c>
      <c r="O97" s="8" t="s">
        <v>49</v>
      </c>
      <c r="P97" s="17" t="str">
        <f aca="false">IF(N97="YES ✓",IF(O97="English OK","🟢 LAUNCH","🟡 LAUNCH+LOC"),IF(N97="TEST",IF(O97="English OK","🟡 TEST","🟠 TEST+LOC"),"🔴 SKIP"))</f>
        <v>🔴 SKIP</v>
      </c>
    </row>
    <row r="98" customFormat="false" ht="15" hidden="false" customHeight="false" outlineLevel="0" collapsed="false">
      <c r="A98" s="8" t="s">
        <v>13</v>
      </c>
      <c r="B98" s="8" t="s">
        <v>60</v>
      </c>
      <c r="C98" s="8" t="s">
        <v>70</v>
      </c>
      <c r="D98" s="12" t="n">
        <v>880</v>
      </c>
      <c r="E98" s="8" t="s">
        <v>37</v>
      </c>
      <c r="F98" s="13" t="n">
        <v>0.25</v>
      </c>
      <c r="G98" s="13" t="n">
        <v>2.45</v>
      </c>
      <c r="H98" s="14" t="n">
        <f aca="false">(F98+G98)/2</f>
        <v>1.35</v>
      </c>
      <c r="I98" s="15" t="n">
        <f aca="false">ROUND(Assumptions!$B$4/H98,0)</f>
        <v>370</v>
      </c>
      <c r="J98" s="16" t="n">
        <f aca="false">ROUND(I98*Assumptions!$B$7,2)</f>
        <v>9.19</v>
      </c>
      <c r="K98" s="10" t="n">
        <f aca="false">IF(J98&gt;0,ROUND(Assumptions!$B$4/J98,0),9999)</f>
        <v>54</v>
      </c>
      <c r="L98" s="9" t="n">
        <v>106</v>
      </c>
      <c r="M98" s="10" t="n">
        <f aca="false">L98*Assumptions!$B$9</f>
        <v>47.7</v>
      </c>
      <c r="N98" s="17" t="str">
        <f aca="false">IF(K98&lt;=Assumptions!$B$8,"YES ✓",IF(K98&lt;=M98,"TEST","NO ✗"))</f>
        <v>NO ✗</v>
      </c>
      <c r="O98" s="8" t="s">
        <v>49</v>
      </c>
      <c r="P98" s="17" t="str">
        <f aca="false">IF(N98="YES ✓",IF(O98="English OK","🟢 LAUNCH","🟡 LAUNCH+LOC"),IF(N98="TEST",IF(O98="English OK","🟡 TEST","🟠 TEST+LOC"),"🔴 SKIP"))</f>
        <v>🔴 SKIP</v>
      </c>
    </row>
    <row r="99" customFormat="false" ht="15" hidden="false" customHeight="false" outlineLevel="0" collapsed="false">
      <c r="A99" s="8" t="s">
        <v>13</v>
      </c>
      <c r="B99" s="8" t="s">
        <v>60</v>
      </c>
      <c r="C99" s="8" t="s">
        <v>71</v>
      </c>
      <c r="D99" s="12" t="n">
        <v>480</v>
      </c>
      <c r="E99" s="8" t="s">
        <v>37</v>
      </c>
      <c r="F99" s="13" t="n">
        <v>0.22</v>
      </c>
      <c r="G99" s="13" t="n">
        <v>2.28</v>
      </c>
      <c r="H99" s="14" t="n">
        <f aca="false">(F99+G99)/2</f>
        <v>1.25</v>
      </c>
      <c r="I99" s="15" t="n">
        <f aca="false">ROUND(Assumptions!$B$4/H99,0)</f>
        <v>400</v>
      </c>
      <c r="J99" s="16" t="n">
        <f aca="false">ROUND(I99*Assumptions!$B$7,2)</f>
        <v>9.94</v>
      </c>
      <c r="K99" s="10" t="n">
        <f aca="false">IF(J99&gt;0,ROUND(Assumptions!$B$4/J99,0),9999)</f>
        <v>50</v>
      </c>
      <c r="L99" s="9" t="n">
        <v>106</v>
      </c>
      <c r="M99" s="10" t="n">
        <f aca="false">L99*Assumptions!$B$9</f>
        <v>47.7</v>
      </c>
      <c r="N99" s="17" t="str">
        <f aca="false">IF(K99&lt;=Assumptions!$B$8,"YES ✓",IF(K99&lt;=M99,"TEST","NO ✗"))</f>
        <v>YES ✓</v>
      </c>
      <c r="O99" s="8" t="s">
        <v>49</v>
      </c>
      <c r="P99" s="17" t="str">
        <f aca="false">IF(N99="YES ✓",IF(O99="English OK","🟢 LAUNCH","🟡 LAUNCH+LOC"),IF(N99="TEST",IF(O99="English OK","🟡 TEST","🟠 TEST+LOC"),"🔴 SKIP"))</f>
        <v>🟡 LAUNCH+LOC</v>
      </c>
    </row>
    <row r="100" customFormat="false" ht="15" hidden="false" customHeight="false" outlineLevel="0" collapsed="false">
      <c r="A100" s="8" t="s">
        <v>13</v>
      </c>
      <c r="B100" s="8" t="s">
        <v>62</v>
      </c>
      <c r="C100" s="8" t="s">
        <v>67</v>
      </c>
      <c r="D100" s="12" t="n">
        <v>260</v>
      </c>
      <c r="E100" s="8" t="s">
        <v>37</v>
      </c>
      <c r="F100" s="13" t="n">
        <v>0.52</v>
      </c>
      <c r="G100" s="13" t="n">
        <v>3.41</v>
      </c>
      <c r="H100" s="14" t="n">
        <f aca="false">(F100+G100)/2</f>
        <v>1.965</v>
      </c>
      <c r="I100" s="15" t="n">
        <f aca="false">ROUND(Assumptions!$B$4/H100,0)</f>
        <v>254</v>
      </c>
      <c r="J100" s="16" t="n">
        <f aca="false">ROUND(I100*Assumptions!$B$7,2)</f>
        <v>6.31</v>
      </c>
      <c r="K100" s="10" t="n">
        <f aca="false">IF(J100&gt;0,ROUND(Assumptions!$B$4/J100,0),9999)</f>
        <v>79</v>
      </c>
      <c r="L100" s="9" t="n">
        <v>106</v>
      </c>
      <c r="M100" s="10" t="n">
        <f aca="false">L100*Assumptions!$B$9</f>
        <v>47.7</v>
      </c>
      <c r="N100" s="17" t="str">
        <f aca="false">IF(K100&lt;=Assumptions!$B$8,"YES ✓",IF(K100&lt;=M100,"TEST","NO ✗"))</f>
        <v>NO ✗</v>
      </c>
      <c r="O100" s="8" t="s">
        <v>38</v>
      </c>
      <c r="P100" s="17" t="str">
        <f aca="false">IF(N100="YES ✓",IF(O100="English OK","🟢 LAUNCH","🟡 LAUNCH+LOC"),IF(N100="TEST",IF(O100="English OK","🟡 TEST","🟠 TEST+LOC"),"🔴 SKIP"))</f>
        <v>🔴 SKIP</v>
      </c>
    </row>
    <row r="101" customFormat="false" ht="15" hidden="false" customHeight="false" outlineLevel="0" collapsed="false">
      <c r="A101" s="8" t="s">
        <v>13</v>
      </c>
      <c r="B101" s="8" t="s">
        <v>62</v>
      </c>
      <c r="C101" s="8" t="s">
        <v>68</v>
      </c>
      <c r="D101" s="12" t="n">
        <v>1000</v>
      </c>
      <c r="E101" s="8" t="s">
        <v>37</v>
      </c>
      <c r="F101" s="13" t="n">
        <v>0.48</v>
      </c>
      <c r="G101" s="13" t="n">
        <v>3.92</v>
      </c>
      <c r="H101" s="14" t="n">
        <f aca="false">(F101+G101)/2</f>
        <v>2.2</v>
      </c>
      <c r="I101" s="15" t="n">
        <f aca="false">ROUND(Assumptions!$B$4/H101,0)</f>
        <v>227</v>
      </c>
      <c r="J101" s="16" t="n">
        <f aca="false">ROUND(I101*Assumptions!$B$7,2)</f>
        <v>5.64</v>
      </c>
      <c r="K101" s="10" t="n">
        <f aca="false">IF(J101&gt;0,ROUND(Assumptions!$B$4/J101,0),9999)</f>
        <v>89</v>
      </c>
      <c r="L101" s="9" t="n">
        <v>106</v>
      </c>
      <c r="M101" s="10" t="n">
        <f aca="false">L101*Assumptions!$B$9</f>
        <v>47.7</v>
      </c>
      <c r="N101" s="17" t="str">
        <f aca="false">IF(K101&lt;=Assumptions!$B$8,"YES ✓",IF(K101&lt;=M101,"TEST","NO ✗"))</f>
        <v>NO ✗</v>
      </c>
      <c r="O101" s="8" t="s">
        <v>38</v>
      </c>
      <c r="P101" s="17" t="str">
        <f aca="false">IF(N101="YES ✓",IF(O101="English OK","🟢 LAUNCH","🟡 LAUNCH+LOC"),IF(N101="TEST",IF(O101="English OK","🟡 TEST","🟠 TEST+LOC"),"🔴 SKIP"))</f>
        <v>🔴 SKIP</v>
      </c>
    </row>
    <row r="102" customFormat="false" ht="15" hidden="false" customHeight="false" outlineLevel="0" collapsed="false">
      <c r="A102" s="8" t="s">
        <v>13</v>
      </c>
      <c r="B102" s="8" t="s">
        <v>62</v>
      </c>
      <c r="C102" s="8" t="s">
        <v>70</v>
      </c>
      <c r="D102" s="12" t="n">
        <v>480</v>
      </c>
      <c r="E102" s="8" t="s">
        <v>37</v>
      </c>
      <c r="F102" s="13" t="n">
        <v>0.45</v>
      </c>
      <c r="G102" s="13" t="n">
        <v>3.78</v>
      </c>
      <c r="H102" s="14" t="n">
        <f aca="false">(F102+G102)/2</f>
        <v>2.115</v>
      </c>
      <c r="I102" s="15" t="n">
        <f aca="false">ROUND(Assumptions!$B$4/H102,0)</f>
        <v>236</v>
      </c>
      <c r="J102" s="16" t="n">
        <f aca="false">ROUND(I102*Assumptions!$B$7,2)</f>
        <v>5.86</v>
      </c>
      <c r="K102" s="10" t="n">
        <f aca="false">IF(J102&gt;0,ROUND(Assumptions!$B$4/J102,0),9999)</f>
        <v>85</v>
      </c>
      <c r="L102" s="9" t="n">
        <v>106</v>
      </c>
      <c r="M102" s="10" t="n">
        <f aca="false">L102*Assumptions!$B$9</f>
        <v>47.7</v>
      </c>
      <c r="N102" s="17" t="str">
        <f aca="false">IF(K102&lt;=Assumptions!$B$8,"YES ✓",IF(K102&lt;=M102,"TEST","NO ✗"))</f>
        <v>NO ✗</v>
      </c>
      <c r="O102" s="8" t="s">
        <v>38</v>
      </c>
      <c r="P102" s="17" t="str">
        <f aca="false">IF(N102="YES ✓",IF(O102="English OK","🟢 LAUNCH","🟡 LAUNCH+LOC"),IF(N102="TEST",IF(O102="English OK","🟡 TEST","🟠 TEST+LOC"),"🔴 SKIP"))</f>
        <v>🔴 SKIP</v>
      </c>
    </row>
    <row r="103" customFormat="false" ht="15" hidden="false" customHeight="false" outlineLevel="0" collapsed="false">
      <c r="A103" s="8" t="s">
        <v>13</v>
      </c>
      <c r="B103" s="8" t="s">
        <v>62</v>
      </c>
      <c r="C103" s="8" t="s">
        <v>71</v>
      </c>
      <c r="D103" s="12" t="n">
        <v>210</v>
      </c>
      <c r="E103" s="8" t="s">
        <v>37</v>
      </c>
      <c r="F103" s="13" t="n">
        <v>0.5</v>
      </c>
      <c r="G103" s="13" t="n">
        <v>3.65</v>
      </c>
      <c r="H103" s="14" t="n">
        <f aca="false">(F103+G103)/2</f>
        <v>2.075</v>
      </c>
      <c r="I103" s="15" t="n">
        <f aca="false">ROUND(Assumptions!$B$4/H103,0)</f>
        <v>241</v>
      </c>
      <c r="J103" s="16" t="n">
        <f aca="false">ROUND(I103*Assumptions!$B$7,2)</f>
        <v>5.99</v>
      </c>
      <c r="K103" s="10" t="n">
        <f aca="false">IF(J103&gt;0,ROUND(Assumptions!$B$4/J103,0),9999)</f>
        <v>83</v>
      </c>
      <c r="L103" s="9" t="n">
        <v>106</v>
      </c>
      <c r="M103" s="10" t="n">
        <f aca="false">L103*Assumptions!$B$9</f>
        <v>47.7</v>
      </c>
      <c r="N103" s="17" t="str">
        <f aca="false">IF(K103&lt;=Assumptions!$B$8,"YES ✓",IF(K103&lt;=M103,"TEST","NO ✗"))</f>
        <v>NO ✗</v>
      </c>
      <c r="O103" s="8" t="s">
        <v>38</v>
      </c>
      <c r="P103" s="17" t="str">
        <f aca="false">IF(N103="YES ✓",IF(O103="English OK","🟢 LAUNCH","🟡 LAUNCH+LOC"),IF(N103="TEST",IF(O103="English OK","🟡 TEST","🟠 TEST+LOC"),"🔴 SKIP"))</f>
        <v>🔴 SKIP</v>
      </c>
    </row>
    <row r="104" customFormat="false" ht="15" hidden="false" customHeight="false" outlineLevel="0" collapsed="false">
      <c r="A104" s="8" t="s">
        <v>13</v>
      </c>
      <c r="B104" s="8" t="s">
        <v>64</v>
      </c>
      <c r="C104" s="8" t="s">
        <v>67</v>
      </c>
      <c r="D104" s="12" t="n">
        <v>2400</v>
      </c>
      <c r="E104" s="8" t="s">
        <v>37</v>
      </c>
      <c r="F104" s="13" t="n">
        <v>0.47</v>
      </c>
      <c r="G104" s="13" t="n">
        <v>3.64</v>
      </c>
      <c r="H104" s="14" t="n">
        <f aca="false">(F104+G104)/2</f>
        <v>2.055</v>
      </c>
      <c r="I104" s="15" t="n">
        <f aca="false">ROUND(Assumptions!$B$4/H104,0)</f>
        <v>243</v>
      </c>
      <c r="J104" s="16" t="n">
        <f aca="false">ROUND(I104*Assumptions!$B$7,2)</f>
        <v>6.04</v>
      </c>
      <c r="K104" s="10" t="n">
        <f aca="false">IF(J104&gt;0,ROUND(Assumptions!$B$4/J104,0),9999)</f>
        <v>83</v>
      </c>
      <c r="L104" s="9" t="n">
        <v>106</v>
      </c>
      <c r="M104" s="10" t="n">
        <f aca="false">L104*Assumptions!$B$9</f>
        <v>47.7</v>
      </c>
      <c r="N104" s="17" t="str">
        <f aca="false">IF(K104&lt;=Assumptions!$B$8,"YES ✓",IF(K104&lt;=M104,"TEST","NO ✗"))</f>
        <v>NO ✗</v>
      </c>
      <c r="O104" s="8" t="s">
        <v>38</v>
      </c>
      <c r="P104" s="17" t="str">
        <f aca="false">IF(N104="YES ✓",IF(O104="English OK","🟢 LAUNCH","🟡 LAUNCH+LOC"),IF(N104="TEST",IF(O104="English OK","🟡 TEST","🟠 TEST+LOC"),"🔴 SKIP"))</f>
        <v>🔴 SKIP</v>
      </c>
    </row>
    <row r="105" customFormat="false" ht="15" hidden="false" customHeight="false" outlineLevel="0" collapsed="false">
      <c r="A105" s="8" t="s">
        <v>13</v>
      </c>
      <c r="B105" s="8" t="s">
        <v>64</v>
      </c>
      <c r="C105" s="8" t="s">
        <v>68</v>
      </c>
      <c r="D105" s="12" t="n">
        <v>14800</v>
      </c>
      <c r="E105" s="8" t="s">
        <v>37</v>
      </c>
      <c r="F105" s="13" t="n">
        <v>0.42</v>
      </c>
      <c r="G105" s="13" t="n">
        <v>3.47</v>
      </c>
      <c r="H105" s="14" t="n">
        <f aca="false">(F105+G105)/2</f>
        <v>1.945</v>
      </c>
      <c r="I105" s="15" t="n">
        <f aca="false">ROUND(Assumptions!$B$4/H105,0)</f>
        <v>257</v>
      </c>
      <c r="J105" s="16" t="n">
        <f aca="false">ROUND(I105*Assumptions!$B$7,2)</f>
        <v>6.39</v>
      </c>
      <c r="K105" s="10" t="n">
        <f aca="false">IF(J105&gt;0,ROUND(Assumptions!$B$4/J105,0),9999)</f>
        <v>78</v>
      </c>
      <c r="L105" s="9" t="n">
        <v>106</v>
      </c>
      <c r="M105" s="10" t="n">
        <f aca="false">L105*Assumptions!$B$9</f>
        <v>47.7</v>
      </c>
      <c r="N105" s="17" t="str">
        <f aca="false">IF(K105&lt;=Assumptions!$B$8,"YES ✓",IF(K105&lt;=M105,"TEST","NO ✗"))</f>
        <v>NO ✗</v>
      </c>
      <c r="O105" s="8" t="s">
        <v>38</v>
      </c>
      <c r="P105" s="17" t="str">
        <f aca="false">IF(N105="YES ✓",IF(O105="English OK","🟢 LAUNCH","🟡 LAUNCH+LOC"),IF(N105="TEST",IF(O105="English OK","🟡 TEST","🟠 TEST+LOC"),"🔴 SKIP"))</f>
        <v>🔴 SKIP</v>
      </c>
    </row>
    <row r="106" customFormat="false" ht="15" hidden="false" customHeight="false" outlineLevel="0" collapsed="false">
      <c r="A106" s="8" t="s">
        <v>13</v>
      </c>
      <c r="B106" s="8" t="s">
        <v>64</v>
      </c>
      <c r="C106" s="8" t="s">
        <v>70</v>
      </c>
      <c r="D106" s="12" t="n">
        <v>4400</v>
      </c>
      <c r="E106" s="8" t="s">
        <v>37</v>
      </c>
      <c r="F106" s="13" t="n">
        <v>0.45</v>
      </c>
      <c r="G106" s="13" t="n">
        <v>3.62</v>
      </c>
      <c r="H106" s="14" t="n">
        <f aca="false">(F106+G106)/2</f>
        <v>2.035</v>
      </c>
      <c r="I106" s="15" t="n">
        <f aca="false">ROUND(Assumptions!$B$4/H106,0)</f>
        <v>246</v>
      </c>
      <c r="J106" s="16" t="n">
        <f aca="false">ROUND(I106*Assumptions!$B$7,2)</f>
        <v>6.11</v>
      </c>
      <c r="K106" s="10" t="n">
        <f aca="false">IF(J106&gt;0,ROUND(Assumptions!$B$4/J106,0),9999)</f>
        <v>82</v>
      </c>
      <c r="L106" s="9" t="n">
        <v>106</v>
      </c>
      <c r="M106" s="10" t="n">
        <f aca="false">L106*Assumptions!$B$9</f>
        <v>47.7</v>
      </c>
      <c r="N106" s="17" t="str">
        <f aca="false">IF(K106&lt;=Assumptions!$B$8,"YES ✓",IF(K106&lt;=M106,"TEST","NO ✗"))</f>
        <v>NO ✗</v>
      </c>
      <c r="O106" s="8" t="s">
        <v>38</v>
      </c>
      <c r="P106" s="17" t="str">
        <f aca="false">IF(N106="YES ✓",IF(O106="English OK","🟢 LAUNCH","🟡 LAUNCH+LOC"),IF(N106="TEST",IF(O106="English OK","🟡 TEST","🟠 TEST+LOC"),"🔴 SKIP"))</f>
        <v>🔴 SKIP</v>
      </c>
    </row>
    <row r="107" customFormat="false" ht="15" hidden="false" customHeight="false" outlineLevel="0" collapsed="false">
      <c r="A107" s="8" t="s">
        <v>13</v>
      </c>
      <c r="B107" s="8" t="s">
        <v>64</v>
      </c>
      <c r="C107" s="8" t="s">
        <v>71</v>
      </c>
      <c r="D107" s="12" t="n">
        <v>1900</v>
      </c>
      <c r="E107" s="8" t="s">
        <v>37</v>
      </c>
      <c r="F107" s="13" t="n">
        <v>0.44</v>
      </c>
      <c r="G107" s="13" t="n">
        <v>3.55</v>
      </c>
      <c r="H107" s="14" t="n">
        <f aca="false">(F107+G107)/2</f>
        <v>1.995</v>
      </c>
      <c r="I107" s="15" t="n">
        <f aca="false">ROUND(Assumptions!$B$4/H107,0)</f>
        <v>251</v>
      </c>
      <c r="J107" s="16" t="n">
        <f aca="false">ROUND(I107*Assumptions!$B$7,2)</f>
        <v>6.24</v>
      </c>
      <c r="K107" s="10" t="n">
        <f aca="false">IF(J107&gt;0,ROUND(Assumptions!$B$4/J107,0),9999)</f>
        <v>80</v>
      </c>
      <c r="L107" s="9" t="n">
        <v>106</v>
      </c>
      <c r="M107" s="10" t="n">
        <f aca="false">L107*Assumptions!$B$9</f>
        <v>47.7</v>
      </c>
      <c r="N107" s="17" t="str">
        <f aca="false">IF(K107&lt;=Assumptions!$B$8,"YES ✓",IF(K107&lt;=M107,"TEST","NO ✗"))</f>
        <v>NO ✗</v>
      </c>
      <c r="O107" s="8" t="s">
        <v>38</v>
      </c>
      <c r="P107" s="17" t="str">
        <f aca="false">IF(N107="YES ✓",IF(O107="English OK","🟢 LAUNCH","🟡 LAUNCH+LOC"),IF(N107="TEST",IF(O107="English OK","🟡 TEST","🟠 TEST+LOC"),"🔴 SKIP"))</f>
        <v>🔴 SKIP</v>
      </c>
    </row>
    <row r="108" customFormat="false" ht="15" hidden="false" customHeight="false" outlineLevel="0" collapsed="false">
      <c r="A108" s="8" t="s">
        <v>13</v>
      </c>
      <c r="B108" s="8" t="s">
        <v>64</v>
      </c>
      <c r="C108" s="8" t="s">
        <v>72</v>
      </c>
      <c r="D108" s="12" t="n">
        <v>880</v>
      </c>
      <c r="E108" s="8" t="s">
        <v>37</v>
      </c>
      <c r="F108" s="13" t="n">
        <v>0.42</v>
      </c>
      <c r="G108" s="13" t="n">
        <v>3.45</v>
      </c>
      <c r="H108" s="14" t="n">
        <f aca="false">(F108+G108)/2</f>
        <v>1.935</v>
      </c>
      <c r="I108" s="15" t="n">
        <f aca="false">ROUND(Assumptions!$B$4/H108,0)</f>
        <v>258</v>
      </c>
      <c r="J108" s="16" t="n">
        <f aca="false">ROUND(I108*Assumptions!$B$7,2)</f>
        <v>6.41</v>
      </c>
      <c r="K108" s="10" t="n">
        <f aca="false">IF(J108&gt;0,ROUND(Assumptions!$B$4/J108,0),9999)</f>
        <v>78</v>
      </c>
      <c r="L108" s="9" t="n">
        <v>106</v>
      </c>
      <c r="M108" s="10" t="n">
        <f aca="false">L108*Assumptions!$B$9</f>
        <v>47.7</v>
      </c>
      <c r="N108" s="17" t="str">
        <f aca="false">IF(K108&lt;=Assumptions!$B$8,"YES ✓",IF(K108&lt;=M108,"TEST","NO ✗"))</f>
        <v>NO ✗</v>
      </c>
      <c r="O108" s="8" t="s">
        <v>38</v>
      </c>
      <c r="P108" s="17" t="str">
        <f aca="false">IF(N108="YES ✓",IF(O108="English OK","🟢 LAUNCH","🟡 LAUNCH+LOC"),IF(N108="TEST",IF(O108="English OK","🟡 TEST","🟠 TEST+LOC"),"🔴 SKIP"))</f>
        <v>🔴 SKIP</v>
      </c>
    </row>
    <row r="109" customFormat="false" ht="15" hidden="false" customHeight="false" outlineLevel="0" collapsed="false">
      <c r="A109" s="8" t="s">
        <v>13</v>
      </c>
      <c r="B109" s="8" t="s">
        <v>65</v>
      </c>
      <c r="C109" s="8" t="s">
        <v>67</v>
      </c>
      <c r="D109" s="12" t="n">
        <v>9900</v>
      </c>
      <c r="E109" s="8" t="s">
        <v>37</v>
      </c>
      <c r="F109" s="13" t="n">
        <v>0.89</v>
      </c>
      <c r="G109" s="13" t="n">
        <v>4.76</v>
      </c>
      <c r="H109" s="14" t="n">
        <f aca="false">(F109+G109)/2</f>
        <v>2.825</v>
      </c>
      <c r="I109" s="15" t="n">
        <f aca="false">ROUND(Assumptions!$B$4/H109,0)</f>
        <v>177</v>
      </c>
      <c r="J109" s="16" t="n">
        <f aca="false">ROUND(I109*Assumptions!$B$7,2)</f>
        <v>4.4</v>
      </c>
      <c r="K109" s="10" t="n">
        <f aca="false">IF(J109&gt;0,ROUND(Assumptions!$B$4/J109,0),9999)</f>
        <v>114</v>
      </c>
      <c r="L109" s="9" t="n">
        <v>106</v>
      </c>
      <c r="M109" s="10" t="n">
        <f aca="false">L109*Assumptions!$B$9</f>
        <v>47.7</v>
      </c>
      <c r="N109" s="17" t="str">
        <f aca="false">IF(K109&lt;=Assumptions!$B$8,"YES ✓",IF(K109&lt;=M109,"TEST","NO ✗"))</f>
        <v>NO ✗</v>
      </c>
      <c r="O109" s="8" t="s">
        <v>38</v>
      </c>
      <c r="P109" s="17" t="str">
        <f aca="false">IF(N109="YES ✓",IF(O109="English OK","🟢 LAUNCH","🟡 LAUNCH+LOC"),IF(N109="TEST",IF(O109="English OK","🟡 TEST","🟠 TEST+LOC"),"🔴 SKIP"))</f>
        <v>🔴 SKIP</v>
      </c>
    </row>
    <row r="110" customFormat="false" ht="15" hidden="false" customHeight="false" outlineLevel="0" collapsed="false">
      <c r="A110" s="8" t="s">
        <v>13</v>
      </c>
      <c r="B110" s="8" t="s">
        <v>65</v>
      </c>
      <c r="C110" s="8" t="s">
        <v>68</v>
      </c>
      <c r="D110" s="12" t="n">
        <v>40500</v>
      </c>
      <c r="E110" s="8" t="s">
        <v>37</v>
      </c>
      <c r="F110" s="13" t="n">
        <v>0.72</v>
      </c>
      <c r="G110" s="13" t="n">
        <v>3.51</v>
      </c>
      <c r="H110" s="14" t="n">
        <f aca="false">(F110+G110)/2</f>
        <v>2.115</v>
      </c>
      <c r="I110" s="15" t="n">
        <f aca="false">ROUND(Assumptions!$B$4/H110,0)</f>
        <v>236</v>
      </c>
      <c r="J110" s="16" t="n">
        <f aca="false">ROUND(I110*Assumptions!$B$7,2)</f>
        <v>5.86</v>
      </c>
      <c r="K110" s="10" t="n">
        <f aca="false">IF(J110&gt;0,ROUND(Assumptions!$B$4/J110,0),9999)</f>
        <v>85</v>
      </c>
      <c r="L110" s="9" t="n">
        <v>106</v>
      </c>
      <c r="M110" s="10" t="n">
        <f aca="false">L110*Assumptions!$B$9</f>
        <v>47.7</v>
      </c>
      <c r="N110" s="17" t="str">
        <f aca="false">IF(K110&lt;=Assumptions!$B$8,"YES ✓",IF(K110&lt;=M110,"TEST","NO ✗"))</f>
        <v>NO ✗</v>
      </c>
      <c r="O110" s="8" t="s">
        <v>38</v>
      </c>
      <c r="P110" s="17" t="str">
        <f aca="false">IF(N110="YES ✓",IF(O110="English OK","🟢 LAUNCH","🟡 LAUNCH+LOC"),IF(N110="TEST",IF(O110="English OK","🟡 TEST","🟠 TEST+LOC"),"🔴 SKIP"))</f>
        <v>🔴 SKIP</v>
      </c>
    </row>
    <row r="111" customFormat="false" ht="15" hidden="false" customHeight="false" outlineLevel="0" collapsed="false">
      <c r="A111" s="8" t="s">
        <v>13</v>
      </c>
      <c r="B111" s="8" t="s">
        <v>65</v>
      </c>
      <c r="C111" s="8" t="s">
        <v>70</v>
      </c>
      <c r="D111" s="12" t="n">
        <v>33100</v>
      </c>
      <c r="E111" s="8" t="s">
        <v>37</v>
      </c>
      <c r="F111" s="13" t="n">
        <v>0.92</v>
      </c>
      <c r="G111" s="13" t="n">
        <v>5.32</v>
      </c>
      <c r="H111" s="14" t="n">
        <f aca="false">(F111+G111)/2</f>
        <v>3.12</v>
      </c>
      <c r="I111" s="15" t="n">
        <f aca="false">ROUND(Assumptions!$B$4/H111,0)</f>
        <v>160</v>
      </c>
      <c r="J111" s="16" t="n">
        <f aca="false">ROUND(I111*Assumptions!$B$7,2)</f>
        <v>3.98</v>
      </c>
      <c r="K111" s="10" t="n">
        <f aca="false">IF(J111&gt;0,ROUND(Assumptions!$B$4/J111,0),9999)</f>
        <v>126</v>
      </c>
      <c r="L111" s="9" t="n">
        <v>106</v>
      </c>
      <c r="M111" s="10" t="n">
        <f aca="false">L111*Assumptions!$B$9</f>
        <v>47.7</v>
      </c>
      <c r="N111" s="17" t="str">
        <f aca="false">IF(K111&lt;=Assumptions!$B$8,"YES ✓",IF(K111&lt;=M111,"TEST","NO ✗"))</f>
        <v>NO ✗</v>
      </c>
      <c r="O111" s="8" t="s">
        <v>38</v>
      </c>
      <c r="P111" s="17" t="str">
        <f aca="false">IF(N111="YES ✓",IF(O111="English OK","🟢 LAUNCH","🟡 LAUNCH+LOC"),IF(N111="TEST",IF(O111="English OK","🟡 TEST","🟠 TEST+LOC"),"🔴 SKIP"))</f>
        <v>🔴 SKIP</v>
      </c>
    </row>
    <row r="112" customFormat="false" ht="15" hidden="false" customHeight="false" outlineLevel="0" collapsed="false">
      <c r="A112" s="8" t="s">
        <v>13</v>
      </c>
      <c r="B112" s="8" t="s">
        <v>65</v>
      </c>
      <c r="C112" s="8" t="s">
        <v>71</v>
      </c>
      <c r="D112" s="12" t="n">
        <v>8100</v>
      </c>
      <c r="E112" s="8" t="s">
        <v>37</v>
      </c>
      <c r="F112" s="13" t="n">
        <v>0.78</v>
      </c>
      <c r="G112" s="13" t="n">
        <v>4.52</v>
      </c>
      <c r="H112" s="14" t="n">
        <f aca="false">(F112+G112)/2</f>
        <v>2.65</v>
      </c>
      <c r="I112" s="15" t="n">
        <f aca="false">ROUND(Assumptions!$B$4/H112,0)</f>
        <v>189</v>
      </c>
      <c r="J112" s="16" t="n">
        <f aca="false">ROUND(I112*Assumptions!$B$7,2)</f>
        <v>4.7</v>
      </c>
      <c r="K112" s="10" t="n">
        <f aca="false">IF(J112&gt;0,ROUND(Assumptions!$B$4/J112,0),9999)</f>
        <v>106</v>
      </c>
      <c r="L112" s="9" t="n">
        <v>106</v>
      </c>
      <c r="M112" s="10" t="n">
        <f aca="false">L112*Assumptions!$B$9</f>
        <v>47.7</v>
      </c>
      <c r="N112" s="17" t="str">
        <f aca="false">IF(K112&lt;=Assumptions!$B$8,"YES ✓",IF(K112&lt;=M112,"TEST","NO ✗"))</f>
        <v>NO ✗</v>
      </c>
      <c r="O112" s="8" t="s">
        <v>38</v>
      </c>
      <c r="P112" s="17" t="str">
        <f aca="false">IF(N112="YES ✓",IF(O112="English OK","🟢 LAUNCH","🟡 LAUNCH+LOC"),IF(N112="TEST",IF(O112="English OK","🟡 TEST","🟠 TEST+LOC"),"🔴 SKIP"))</f>
        <v>🔴 SKIP</v>
      </c>
    </row>
    <row r="113" customFormat="false" ht="15" hidden="false" customHeight="false" outlineLevel="0" collapsed="false">
      <c r="A113" s="8" t="s">
        <v>13</v>
      </c>
      <c r="B113" s="8" t="s">
        <v>65</v>
      </c>
      <c r="C113" s="8" t="s">
        <v>72</v>
      </c>
      <c r="D113" s="12" t="n">
        <v>4400</v>
      </c>
      <c r="E113" s="8" t="s">
        <v>37</v>
      </c>
      <c r="F113" s="13" t="n">
        <v>0.75</v>
      </c>
      <c r="G113" s="13" t="n">
        <v>4.35</v>
      </c>
      <c r="H113" s="14" t="n">
        <f aca="false">(F113+G113)/2</f>
        <v>2.55</v>
      </c>
      <c r="I113" s="15" t="n">
        <f aca="false">ROUND(Assumptions!$B$4/H113,0)</f>
        <v>196</v>
      </c>
      <c r="J113" s="16" t="n">
        <f aca="false">ROUND(I113*Assumptions!$B$7,2)</f>
        <v>4.87</v>
      </c>
      <c r="K113" s="10" t="n">
        <f aca="false">IF(J113&gt;0,ROUND(Assumptions!$B$4/J113,0),9999)</f>
        <v>103</v>
      </c>
      <c r="L113" s="9" t="n">
        <v>106</v>
      </c>
      <c r="M113" s="10" t="n">
        <f aca="false">L113*Assumptions!$B$9</f>
        <v>47.7</v>
      </c>
      <c r="N113" s="17" t="str">
        <f aca="false">IF(K113&lt;=Assumptions!$B$8,"YES ✓",IF(K113&lt;=M113,"TEST","NO ✗"))</f>
        <v>NO ✗</v>
      </c>
      <c r="O113" s="8" t="s">
        <v>38</v>
      </c>
      <c r="P113" s="17" t="str">
        <f aca="false">IF(N113="YES ✓",IF(O113="English OK","🟢 LAUNCH","🟡 LAUNCH+LOC"),IF(N113="TEST",IF(O113="English OK","🟡 TEST","🟠 TEST+LOC"),"🔴 SKIP"))</f>
        <v>🔴 SKIP</v>
      </c>
    </row>
    <row r="114" customFormat="false" ht="15" hidden="false" customHeight="false" outlineLevel="0" collapsed="false">
      <c r="A114" s="8" t="s">
        <v>13</v>
      </c>
      <c r="B114" s="8" t="s">
        <v>66</v>
      </c>
      <c r="C114" s="8" t="s">
        <v>67</v>
      </c>
      <c r="D114" s="12" t="n">
        <v>4400</v>
      </c>
      <c r="E114" s="8" t="s">
        <v>37</v>
      </c>
      <c r="F114" s="13" t="n">
        <v>1.08</v>
      </c>
      <c r="G114" s="13" t="n">
        <v>4.89</v>
      </c>
      <c r="H114" s="14" t="n">
        <f aca="false">(F114+G114)/2</f>
        <v>2.985</v>
      </c>
      <c r="I114" s="15" t="n">
        <f aca="false">ROUND(Assumptions!$B$4/H114,0)</f>
        <v>168</v>
      </c>
      <c r="J114" s="16" t="n">
        <f aca="false">ROUND(I114*Assumptions!$B$7,2)</f>
        <v>4.17</v>
      </c>
      <c r="K114" s="10" t="n">
        <f aca="false">IF(J114&gt;0,ROUND(Assumptions!$B$4/J114,0),9999)</f>
        <v>120</v>
      </c>
      <c r="L114" s="9" t="n">
        <v>106</v>
      </c>
      <c r="M114" s="10" t="n">
        <f aca="false">L114*Assumptions!$B$9</f>
        <v>47.7</v>
      </c>
      <c r="N114" s="17" t="str">
        <f aca="false">IF(K114&lt;=Assumptions!$B$8,"YES ✓",IF(K114&lt;=M114,"TEST","NO ✗"))</f>
        <v>NO ✗</v>
      </c>
      <c r="O114" s="8" t="s">
        <v>38</v>
      </c>
      <c r="P114" s="17" t="str">
        <f aca="false">IF(N114="YES ✓",IF(O114="English OK","🟢 LAUNCH","🟡 LAUNCH+LOC"),IF(N114="TEST",IF(O114="English OK","🟡 TEST","🟠 TEST+LOC"),"🔴 SKIP"))</f>
        <v>🔴 SKIP</v>
      </c>
    </row>
    <row r="115" customFormat="false" ht="15" hidden="false" customHeight="false" outlineLevel="0" collapsed="false">
      <c r="A115" s="8" t="s">
        <v>13</v>
      </c>
      <c r="B115" s="8" t="s">
        <v>66</v>
      </c>
      <c r="C115" s="8" t="s">
        <v>68</v>
      </c>
      <c r="D115" s="12" t="n">
        <v>22200</v>
      </c>
      <c r="E115" s="8" t="s">
        <v>37</v>
      </c>
      <c r="F115" s="13" t="n">
        <v>1.22</v>
      </c>
      <c r="G115" s="13" t="n">
        <v>3.67</v>
      </c>
      <c r="H115" s="14" t="n">
        <f aca="false">(F115+G115)/2</f>
        <v>2.445</v>
      </c>
      <c r="I115" s="15" t="n">
        <f aca="false">ROUND(Assumptions!$B$4/H115,0)</f>
        <v>204</v>
      </c>
      <c r="J115" s="16" t="n">
        <f aca="false">ROUND(I115*Assumptions!$B$7,2)</f>
        <v>5.07</v>
      </c>
      <c r="K115" s="10" t="n">
        <f aca="false">IF(J115&gt;0,ROUND(Assumptions!$B$4/J115,0),9999)</f>
        <v>99</v>
      </c>
      <c r="L115" s="9" t="n">
        <v>106</v>
      </c>
      <c r="M115" s="10" t="n">
        <f aca="false">L115*Assumptions!$B$9</f>
        <v>47.7</v>
      </c>
      <c r="N115" s="17" t="str">
        <f aca="false">IF(K115&lt;=Assumptions!$B$8,"YES ✓",IF(K115&lt;=M115,"TEST","NO ✗"))</f>
        <v>NO ✗</v>
      </c>
      <c r="O115" s="8" t="s">
        <v>38</v>
      </c>
      <c r="P115" s="17" t="str">
        <f aca="false">IF(N115="YES ✓",IF(O115="English OK","🟢 LAUNCH","🟡 LAUNCH+LOC"),IF(N115="TEST",IF(O115="English OK","🟡 TEST","🟠 TEST+LOC"),"🔴 SKIP"))</f>
        <v>🔴 SKIP</v>
      </c>
    </row>
    <row r="116" customFormat="false" ht="15" hidden="false" customHeight="false" outlineLevel="0" collapsed="false">
      <c r="A116" s="8" t="s">
        <v>13</v>
      </c>
      <c r="B116" s="8" t="s">
        <v>66</v>
      </c>
      <c r="C116" s="8" t="s">
        <v>70</v>
      </c>
      <c r="D116" s="12" t="n">
        <v>9900</v>
      </c>
      <c r="E116" s="8" t="s">
        <v>37</v>
      </c>
      <c r="F116" s="13" t="n">
        <v>1.15</v>
      </c>
      <c r="G116" s="13" t="n">
        <v>4.25</v>
      </c>
      <c r="H116" s="14" t="n">
        <f aca="false">(F116+G116)/2</f>
        <v>2.7</v>
      </c>
      <c r="I116" s="15" t="n">
        <f aca="false">ROUND(Assumptions!$B$4/H116,0)</f>
        <v>185</v>
      </c>
      <c r="J116" s="16" t="n">
        <f aca="false">ROUND(I116*Assumptions!$B$7,2)</f>
        <v>4.6</v>
      </c>
      <c r="K116" s="10" t="n">
        <f aca="false">IF(J116&gt;0,ROUND(Assumptions!$B$4/J116,0),9999)</f>
        <v>109</v>
      </c>
      <c r="L116" s="9" t="n">
        <v>106</v>
      </c>
      <c r="M116" s="10" t="n">
        <f aca="false">L116*Assumptions!$B$9</f>
        <v>47.7</v>
      </c>
      <c r="N116" s="17" t="str">
        <f aca="false">IF(K116&lt;=Assumptions!$B$8,"YES ✓",IF(K116&lt;=M116,"TEST","NO ✗"))</f>
        <v>NO ✗</v>
      </c>
      <c r="O116" s="8" t="s">
        <v>38</v>
      </c>
      <c r="P116" s="17" t="str">
        <f aca="false">IF(N116="YES ✓",IF(O116="English OK","🟢 LAUNCH","🟡 LAUNCH+LOC"),IF(N116="TEST",IF(O116="English OK","🟡 TEST","🟠 TEST+LOC"),"🔴 SKIP"))</f>
        <v>🔴 SKIP</v>
      </c>
    </row>
    <row r="117" customFormat="false" ht="15" hidden="false" customHeight="false" outlineLevel="0" collapsed="false">
      <c r="A117" s="8" t="s">
        <v>13</v>
      </c>
      <c r="B117" s="8" t="s">
        <v>66</v>
      </c>
      <c r="C117" s="8" t="s">
        <v>71</v>
      </c>
      <c r="D117" s="12" t="n">
        <v>2900</v>
      </c>
      <c r="E117" s="8" t="s">
        <v>37</v>
      </c>
      <c r="F117" s="13" t="n">
        <v>1.05</v>
      </c>
      <c r="G117" s="13" t="n">
        <v>4.65</v>
      </c>
      <c r="H117" s="14" t="n">
        <f aca="false">(F117+G117)/2</f>
        <v>2.85</v>
      </c>
      <c r="I117" s="15" t="n">
        <f aca="false">ROUND(Assumptions!$B$4/H117,0)</f>
        <v>175</v>
      </c>
      <c r="J117" s="16" t="n">
        <f aca="false">ROUND(I117*Assumptions!$B$7,2)</f>
        <v>4.35</v>
      </c>
      <c r="K117" s="10" t="n">
        <f aca="false">IF(J117&gt;0,ROUND(Assumptions!$B$4/J117,0),9999)</f>
        <v>115</v>
      </c>
      <c r="L117" s="9" t="n">
        <v>106</v>
      </c>
      <c r="M117" s="10" t="n">
        <f aca="false">L117*Assumptions!$B$9</f>
        <v>47.7</v>
      </c>
      <c r="N117" s="17" t="str">
        <f aca="false">IF(K117&lt;=Assumptions!$B$8,"YES ✓",IF(K117&lt;=M117,"TEST","NO ✗"))</f>
        <v>NO ✗</v>
      </c>
      <c r="O117" s="8" t="s">
        <v>38</v>
      </c>
      <c r="P117" s="17" t="str">
        <f aca="false">IF(N117="YES ✓",IF(O117="English OK","🟢 LAUNCH","🟡 LAUNCH+LOC"),IF(N117="TEST",IF(O117="English OK","🟡 TEST","🟠 TEST+LOC"),"🔴 SKIP"))</f>
        <v>🔴 SKIP</v>
      </c>
    </row>
    <row r="118" customFormat="false" ht="15" hidden="false" customHeight="false" outlineLevel="0" collapsed="false">
      <c r="A118" s="8" t="s">
        <v>14</v>
      </c>
      <c r="B118" s="8" t="s">
        <v>35</v>
      </c>
      <c r="C118" s="8" t="s">
        <v>81</v>
      </c>
      <c r="D118" s="12" t="n">
        <v>140</v>
      </c>
      <c r="E118" s="8" t="s">
        <v>82</v>
      </c>
      <c r="F118" s="13" t="n">
        <v>0.08</v>
      </c>
      <c r="G118" s="13" t="n">
        <v>1.38</v>
      </c>
      <c r="H118" s="14" t="n">
        <f aca="false">(F118+G118)/2</f>
        <v>0.73</v>
      </c>
      <c r="I118" s="15" t="n">
        <f aca="false">ROUND(Assumptions!$B$4/H118,0)</f>
        <v>685</v>
      </c>
      <c r="J118" s="16" t="n">
        <f aca="false">ROUND(I118*Assumptions!$B$7,2)</f>
        <v>17.02</v>
      </c>
      <c r="K118" s="10" t="n">
        <f aca="false">IF(J118&gt;0,ROUND(Assumptions!$B$4/J118,0),9999)</f>
        <v>29</v>
      </c>
      <c r="L118" s="9" t="n">
        <v>157</v>
      </c>
      <c r="M118" s="10" t="n">
        <f aca="false">L118*Assumptions!$B$9</f>
        <v>70.65</v>
      </c>
      <c r="N118" s="17" t="str">
        <f aca="false">IF(K118&lt;=Assumptions!$B$8,"YES ✓",IF(K118&lt;=M118,"TEST","NO ✗"))</f>
        <v>YES ✓</v>
      </c>
      <c r="O118" s="8" t="s">
        <v>38</v>
      </c>
      <c r="P118" s="17" t="str">
        <f aca="false">IF(N118="YES ✓",IF(O118="English OK","🟢 LAUNCH","🟡 LAUNCH+LOC"),IF(N118="TEST",IF(O118="English OK","🟡 TEST","🟠 TEST+LOC"),"🔴 SKIP"))</f>
        <v>🟢 LAUNCH</v>
      </c>
    </row>
    <row r="119" customFormat="false" ht="15" hidden="false" customHeight="false" outlineLevel="0" collapsed="false">
      <c r="A119" s="8" t="s">
        <v>14</v>
      </c>
      <c r="B119" s="8" t="s">
        <v>35</v>
      </c>
      <c r="C119" s="8" t="s">
        <v>83</v>
      </c>
      <c r="D119" s="12" t="n">
        <v>170</v>
      </c>
      <c r="E119" s="8" t="s">
        <v>37</v>
      </c>
      <c r="F119" s="13" t="n">
        <v>0.06</v>
      </c>
      <c r="G119" s="13" t="n">
        <v>0.52</v>
      </c>
      <c r="H119" s="14" t="n">
        <f aca="false">(F119+G119)/2</f>
        <v>0.29</v>
      </c>
      <c r="I119" s="15" t="n">
        <f aca="false">ROUND(Assumptions!$B$4/H119,0)</f>
        <v>1724</v>
      </c>
      <c r="J119" s="16" t="n">
        <f aca="false">ROUND(I119*Assumptions!$B$7,2)</f>
        <v>42.84</v>
      </c>
      <c r="K119" s="10" t="n">
        <f aca="false">IF(J119&gt;0,ROUND(Assumptions!$B$4/J119,0),9999)</f>
        <v>12</v>
      </c>
      <c r="L119" s="9" t="n">
        <v>157</v>
      </c>
      <c r="M119" s="10" t="n">
        <f aca="false">L119*Assumptions!$B$9</f>
        <v>70.65</v>
      </c>
      <c r="N119" s="17" t="str">
        <f aca="false">IF(K119&lt;=Assumptions!$B$8,"YES ✓",IF(K119&lt;=M119,"TEST","NO ✗"))</f>
        <v>YES ✓</v>
      </c>
      <c r="O119" s="8" t="s">
        <v>38</v>
      </c>
      <c r="P119" s="17" t="str">
        <f aca="false">IF(N119="YES ✓",IF(O119="English OK","🟢 LAUNCH","🟡 LAUNCH+LOC"),IF(N119="TEST",IF(O119="English OK","🟡 TEST","🟠 TEST+LOC"),"🔴 SKIP"))</f>
        <v>🟢 LAUNCH</v>
      </c>
    </row>
    <row r="120" customFormat="false" ht="15" hidden="false" customHeight="false" outlineLevel="0" collapsed="false">
      <c r="A120" s="8" t="s">
        <v>14</v>
      </c>
      <c r="B120" s="8" t="s">
        <v>35</v>
      </c>
      <c r="C120" s="8" t="s">
        <v>84</v>
      </c>
      <c r="D120" s="12" t="n">
        <v>50</v>
      </c>
      <c r="E120" s="8" t="s">
        <v>37</v>
      </c>
      <c r="F120" s="13" t="n">
        <v>0.07</v>
      </c>
      <c r="G120" s="13" t="n">
        <v>0.65</v>
      </c>
      <c r="H120" s="14" t="n">
        <f aca="false">(F120+G120)/2</f>
        <v>0.36</v>
      </c>
      <c r="I120" s="15" t="n">
        <f aca="false">ROUND(Assumptions!$B$4/H120,0)</f>
        <v>1389</v>
      </c>
      <c r="J120" s="16" t="n">
        <f aca="false">ROUND(I120*Assumptions!$B$7,2)</f>
        <v>34.52</v>
      </c>
      <c r="K120" s="10" t="n">
        <f aca="false">IF(J120&gt;0,ROUND(Assumptions!$B$4/J120,0),9999)</f>
        <v>14</v>
      </c>
      <c r="L120" s="9" t="n">
        <v>157</v>
      </c>
      <c r="M120" s="10" t="n">
        <f aca="false">L120*Assumptions!$B$9</f>
        <v>70.65</v>
      </c>
      <c r="N120" s="17" t="str">
        <f aca="false">IF(K120&lt;=Assumptions!$B$8,"YES ✓",IF(K120&lt;=M120,"TEST","NO ✗"))</f>
        <v>YES ✓</v>
      </c>
      <c r="O120" s="8" t="s">
        <v>38</v>
      </c>
      <c r="P120" s="17" t="str">
        <f aca="false">IF(N120="YES ✓",IF(O120="English OK","🟢 LAUNCH","🟡 LAUNCH+LOC"),IF(N120="TEST",IF(O120="English OK","🟡 TEST","🟠 TEST+LOC"),"🔴 SKIP"))</f>
        <v>🟢 LAUNCH</v>
      </c>
    </row>
    <row r="121" customFormat="false" ht="15" hidden="false" customHeight="false" outlineLevel="0" collapsed="false">
      <c r="A121" s="8" t="s">
        <v>14</v>
      </c>
      <c r="B121" s="8" t="s">
        <v>45</v>
      </c>
      <c r="C121" s="8" t="s">
        <v>85</v>
      </c>
      <c r="D121" s="12" t="n">
        <v>140</v>
      </c>
      <c r="E121" s="8" t="s">
        <v>86</v>
      </c>
      <c r="F121" s="13" t="n">
        <v>0.15</v>
      </c>
      <c r="G121" s="13" t="n">
        <v>0.63</v>
      </c>
      <c r="H121" s="14" t="n">
        <f aca="false">(F121+G121)/2</f>
        <v>0.39</v>
      </c>
      <c r="I121" s="15" t="n">
        <f aca="false">ROUND(Assumptions!$B$4/H121,0)</f>
        <v>1282</v>
      </c>
      <c r="J121" s="16" t="n">
        <f aca="false">ROUND(I121*Assumptions!$B$7,2)</f>
        <v>31.86</v>
      </c>
      <c r="K121" s="10" t="n">
        <f aca="false">IF(J121&gt;0,ROUND(Assumptions!$B$4/J121,0),9999)</f>
        <v>16</v>
      </c>
      <c r="L121" s="9" t="n">
        <v>157</v>
      </c>
      <c r="M121" s="10" t="n">
        <f aca="false">L121*Assumptions!$B$9</f>
        <v>70.65</v>
      </c>
      <c r="N121" s="17" t="str">
        <f aca="false">IF(K121&lt;=Assumptions!$B$8,"YES ✓",IF(K121&lt;=M121,"TEST","NO ✗"))</f>
        <v>YES ✓</v>
      </c>
      <c r="O121" s="8" t="s">
        <v>38</v>
      </c>
      <c r="P121" s="17" t="str">
        <f aca="false">IF(N121="YES ✓",IF(O121="English OK","🟢 LAUNCH","🟡 LAUNCH+LOC"),IF(N121="TEST",IF(O121="English OK","🟡 TEST","🟠 TEST+LOC"),"🔴 SKIP"))</f>
        <v>🟢 LAUNCH</v>
      </c>
    </row>
    <row r="122" customFormat="false" ht="15" hidden="false" customHeight="false" outlineLevel="0" collapsed="false">
      <c r="A122" s="8" t="s">
        <v>14</v>
      </c>
      <c r="B122" s="8" t="s">
        <v>45</v>
      </c>
      <c r="C122" s="8" t="s">
        <v>83</v>
      </c>
      <c r="D122" s="12" t="n">
        <v>90</v>
      </c>
      <c r="E122" s="8" t="s">
        <v>37</v>
      </c>
      <c r="F122" s="13" t="n">
        <v>0.08</v>
      </c>
      <c r="G122" s="13" t="n">
        <v>0.47</v>
      </c>
      <c r="H122" s="14" t="n">
        <f aca="false">(F122+G122)/2</f>
        <v>0.275</v>
      </c>
      <c r="I122" s="15" t="n">
        <f aca="false">ROUND(Assumptions!$B$4/H122,0)</f>
        <v>1818</v>
      </c>
      <c r="J122" s="16" t="n">
        <f aca="false">ROUND(I122*Assumptions!$B$7,2)</f>
        <v>45.18</v>
      </c>
      <c r="K122" s="10" t="n">
        <f aca="false">IF(J122&gt;0,ROUND(Assumptions!$B$4/J122,0),9999)</f>
        <v>11</v>
      </c>
      <c r="L122" s="9" t="n">
        <v>157</v>
      </c>
      <c r="M122" s="10" t="n">
        <f aca="false">L122*Assumptions!$B$9</f>
        <v>70.65</v>
      </c>
      <c r="N122" s="17" t="str">
        <f aca="false">IF(K122&lt;=Assumptions!$B$8,"YES ✓",IF(K122&lt;=M122,"TEST","NO ✗"))</f>
        <v>YES ✓</v>
      </c>
      <c r="O122" s="8" t="s">
        <v>38</v>
      </c>
      <c r="P122" s="17" t="str">
        <f aca="false">IF(N122="YES ✓",IF(O122="English OK","🟢 LAUNCH","🟡 LAUNCH+LOC"),IF(N122="TEST",IF(O122="English OK","🟡 TEST","🟠 TEST+LOC"),"🔴 SKIP"))</f>
        <v>🟢 LAUNCH</v>
      </c>
    </row>
    <row r="123" customFormat="false" ht="15" hidden="false" customHeight="false" outlineLevel="0" collapsed="false">
      <c r="A123" s="8" t="s">
        <v>14</v>
      </c>
      <c r="B123" s="8" t="s">
        <v>45</v>
      </c>
      <c r="C123" s="8" t="s">
        <v>84</v>
      </c>
      <c r="D123" s="12" t="n">
        <v>40</v>
      </c>
      <c r="E123" s="8" t="s">
        <v>37</v>
      </c>
      <c r="F123" s="13" t="n">
        <v>0.1</v>
      </c>
      <c r="G123" s="13" t="n">
        <v>0.55</v>
      </c>
      <c r="H123" s="14" t="n">
        <f aca="false">(F123+G123)/2</f>
        <v>0.325</v>
      </c>
      <c r="I123" s="15" t="n">
        <f aca="false">ROUND(Assumptions!$B$4/H123,0)</f>
        <v>1538</v>
      </c>
      <c r="J123" s="16" t="n">
        <f aca="false">ROUND(I123*Assumptions!$B$7,2)</f>
        <v>38.22</v>
      </c>
      <c r="K123" s="10" t="n">
        <f aca="false">IF(J123&gt;0,ROUND(Assumptions!$B$4/J123,0),9999)</f>
        <v>13</v>
      </c>
      <c r="L123" s="9" t="n">
        <v>157</v>
      </c>
      <c r="M123" s="10" t="n">
        <f aca="false">L123*Assumptions!$B$9</f>
        <v>70.65</v>
      </c>
      <c r="N123" s="17" t="str">
        <f aca="false">IF(K123&lt;=Assumptions!$B$8,"YES ✓",IF(K123&lt;=M123,"TEST","NO ✗"))</f>
        <v>YES ✓</v>
      </c>
      <c r="O123" s="8" t="s">
        <v>38</v>
      </c>
      <c r="P123" s="17" t="str">
        <f aca="false">IF(N123="YES ✓",IF(O123="English OK","🟢 LAUNCH","🟡 LAUNCH+LOC"),IF(N123="TEST",IF(O123="English OK","🟡 TEST","🟠 TEST+LOC"),"🔴 SKIP"))</f>
        <v>🟢 LAUNCH</v>
      </c>
    </row>
    <row r="124" customFormat="false" ht="15" hidden="false" customHeight="false" outlineLevel="0" collapsed="false">
      <c r="A124" s="8" t="s">
        <v>14</v>
      </c>
      <c r="B124" s="8" t="s">
        <v>47</v>
      </c>
      <c r="C124" s="8" t="s">
        <v>81</v>
      </c>
      <c r="D124" s="12" t="n">
        <v>20</v>
      </c>
      <c r="E124" s="8" t="s">
        <v>82</v>
      </c>
      <c r="F124" s="13" t="n">
        <v>0.18</v>
      </c>
      <c r="G124" s="13" t="n">
        <v>14.4</v>
      </c>
      <c r="H124" s="14" t="n">
        <f aca="false">(F124+G124)/2</f>
        <v>7.29</v>
      </c>
      <c r="I124" s="15" t="n">
        <f aca="false">ROUND(Assumptions!$B$4/H124,0)</f>
        <v>69</v>
      </c>
      <c r="J124" s="16" t="n">
        <f aca="false">ROUND(I124*Assumptions!$B$7,2)</f>
        <v>1.71</v>
      </c>
      <c r="K124" s="10" t="n">
        <f aca="false">IF(J124&gt;0,ROUND(Assumptions!$B$4/J124,0),9999)</f>
        <v>292</v>
      </c>
      <c r="L124" s="9" t="n">
        <v>157</v>
      </c>
      <c r="M124" s="10" t="n">
        <f aca="false">L124*Assumptions!$B$9</f>
        <v>70.65</v>
      </c>
      <c r="N124" s="17" t="str">
        <f aca="false">IF(K124&lt;=Assumptions!$B$8,"YES ✓",IF(K124&lt;=M124,"TEST","NO ✗"))</f>
        <v>NO ✗</v>
      </c>
      <c r="O124" s="8" t="s">
        <v>49</v>
      </c>
      <c r="P124" s="17" t="str">
        <f aca="false">IF(N124="YES ✓",IF(O124="English OK","🟢 LAUNCH","🟡 LAUNCH+LOC"),IF(N124="TEST",IF(O124="English OK","🟡 TEST","🟠 TEST+LOC"),"🔴 SKIP"))</f>
        <v>🔴 SKIP</v>
      </c>
    </row>
    <row r="125" customFormat="false" ht="15" hidden="false" customHeight="false" outlineLevel="0" collapsed="false">
      <c r="A125" s="8" t="s">
        <v>14</v>
      </c>
      <c r="B125" s="8" t="s">
        <v>47</v>
      </c>
      <c r="C125" s="8" t="s">
        <v>83</v>
      </c>
      <c r="D125" s="12" t="n">
        <v>30</v>
      </c>
      <c r="E125" s="8" t="s">
        <v>37</v>
      </c>
      <c r="F125" s="13" t="n">
        <v>0.07</v>
      </c>
      <c r="G125" s="13" t="n">
        <v>1.26</v>
      </c>
      <c r="H125" s="14" t="n">
        <f aca="false">(F125+G125)/2</f>
        <v>0.665</v>
      </c>
      <c r="I125" s="15" t="n">
        <f aca="false">ROUND(Assumptions!$B$4/H125,0)</f>
        <v>752</v>
      </c>
      <c r="J125" s="16" t="n">
        <f aca="false">ROUND(I125*Assumptions!$B$7,2)</f>
        <v>18.69</v>
      </c>
      <c r="K125" s="10" t="n">
        <f aca="false">IF(J125&gt;0,ROUND(Assumptions!$B$4/J125,0),9999)</f>
        <v>27</v>
      </c>
      <c r="L125" s="9" t="n">
        <v>157</v>
      </c>
      <c r="M125" s="10" t="n">
        <f aca="false">L125*Assumptions!$B$9</f>
        <v>70.65</v>
      </c>
      <c r="N125" s="17" t="str">
        <f aca="false">IF(K125&lt;=Assumptions!$B$8,"YES ✓",IF(K125&lt;=M125,"TEST","NO ✗"))</f>
        <v>YES ✓</v>
      </c>
      <c r="O125" s="8" t="s">
        <v>49</v>
      </c>
      <c r="P125" s="17" t="str">
        <f aca="false">IF(N125="YES ✓",IF(O125="English OK","🟢 LAUNCH","🟡 LAUNCH+LOC"),IF(N125="TEST",IF(O125="English OK","🟡 TEST","🟠 TEST+LOC"),"🔴 SKIP"))</f>
        <v>🟡 LAUNCH+LOC</v>
      </c>
    </row>
    <row r="126" customFormat="false" ht="15" hidden="false" customHeight="false" outlineLevel="0" collapsed="false">
      <c r="A126" s="8" t="s">
        <v>14</v>
      </c>
      <c r="B126" s="8" t="s">
        <v>47</v>
      </c>
      <c r="C126" s="8" t="s">
        <v>84</v>
      </c>
      <c r="D126" s="12" t="n">
        <v>40</v>
      </c>
      <c r="E126" s="8" t="s">
        <v>37</v>
      </c>
      <c r="F126" s="13" t="n">
        <v>0.22</v>
      </c>
      <c r="G126" s="13" t="n">
        <v>3.28</v>
      </c>
      <c r="H126" s="14" t="n">
        <f aca="false">(F126+G126)/2</f>
        <v>1.75</v>
      </c>
      <c r="I126" s="15" t="n">
        <f aca="false">ROUND(Assumptions!$B$4/H126,0)</f>
        <v>286</v>
      </c>
      <c r="J126" s="16" t="n">
        <f aca="false">ROUND(I126*Assumptions!$B$7,2)</f>
        <v>7.11</v>
      </c>
      <c r="K126" s="10" t="n">
        <f aca="false">IF(J126&gt;0,ROUND(Assumptions!$B$4/J126,0),9999)</f>
        <v>70</v>
      </c>
      <c r="L126" s="9" t="n">
        <v>157</v>
      </c>
      <c r="M126" s="10" t="n">
        <f aca="false">L126*Assumptions!$B$9</f>
        <v>70.65</v>
      </c>
      <c r="N126" s="17" t="str">
        <f aca="false">IF(K126&lt;=Assumptions!$B$8,"YES ✓",IF(K126&lt;=M126,"TEST","NO ✗"))</f>
        <v>TEST</v>
      </c>
      <c r="O126" s="8" t="s">
        <v>49</v>
      </c>
      <c r="P126" s="17" t="str">
        <f aca="false">IF(N126="YES ✓",IF(O126="English OK","🟢 LAUNCH","🟡 LAUNCH+LOC"),IF(N126="TEST",IF(O126="English OK","🟡 TEST","🟠 TEST+LOC"),"🔴 SKIP"))</f>
        <v>🟠 TEST+LOC</v>
      </c>
    </row>
    <row r="127" customFormat="false" ht="15" hidden="false" customHeight="false" outlineLevel="0" collapsed="false">
      <c r="A127" s="8" t="s">
        <v>14</v>
      </c>
      <c r="B127" s="8" t="s">
        <v>53</v>
      </c>
      <c r="C127" s="8" t="s">
        <v>85</v>
      </c>
      <c r="D127" s="12" t="n">
        <v>70</v>
      </c>
      <c r="E127" s="8" t="s">
        <v>37</v>
      </c>
      <c r="F127" s="13" t="n">
        <v>0.35</v>
      </c>
      <c r="G127" s="13" t="n">
        <v>2.89</v>
      </c>
      <c r="H127" s="14" t="n">
        <f aca="false">(F127+G127)/2</f>
        <v>1.62</v>
      </c>
      <c r="I127" s="15" t="n">
        <f aca="false">ROUND(Assumptions!$B$4/H127,0)</f>
        <v>309</v>
      </c>
      <c r="J127" s="16" t="n">
        <f aca="false">ROUND(I127*Assumptions!$B$7,2)</f>
        <v>7.68</v>
      </c>
      <c r="K127" s="10" t="n">
        <f aca="false">IF(J127&gt;0,ROUND(Assumptions!$B$4/J127,0),9999)</f>
        <v>65</v>
      </c>
      <c r="L127" s="9" t="n">
        <v>157</v>
      </c>
      <c r="M127" s="10" t="n">
        <f aca="false">L127*Assumptions!$B$9</f>
        <v>70.65</v>
      </c>
      <c r="N127" s="17" t="str">
        <f aca="false">IF(K127&lt;=Assumptions!$B$8,"YES ✓",IF(K127&lt;=M127,"TEST","NO ✗"))</f>
        <v>TEST</v>
      </c>
      <c r="O127" s="8" t="s">
        <v>38</v>
      </c>
      <c r="P127" s="17" t="str">
        <f aca="false">IF(N127="YES ✓",IF(O127="English OK","🟢 LAUNCH","🟡 LAUNCH+LOC"),IF(N127="TEST",IF(O127="English OK","🟡 TEST","🟠 TEST+LOC"),"🔴 SKIP"))</f>
        <v>🟡 TEST</v>
      </c>
    </row>
    <row r="128" customFormat="false" ht="15" hidden="false" customHeight="false" outlineLevel="0" collapsed="false">
      <c r="A128" s="8" t="s">
        <v>14</v>
      </c>
      <c r="B128" s="8" t="s">
        <v>53</v>
      </c>
      <c r="C128" s="8" t="s">
        <v>84</v>
      </c>
      <c r="D128" s="12" t="n">
        <v>50</v>
      </c>
      <c r="E128" s="8" t="s">
        <v>37</v>
      </c>
      <c r="F128" s="13" t="n">
        <v>0.32</v>
      </c>
      <c r="G128" s="13" t="n">
        <v>2.45</v>
      </c>
      <c r="H128" s="14" t="n">
        <f aca="false">(F128+G128)/2</f>
        <v>1.385</v>
      </c>
      <c r="I128" s="15" t="n">
        <f aca="false">ROUND(Assumptions!$B$4/H128,0)</f>
        <v>361</v>
      </c>
      <c r="J128" s="16" t="n">
        <f aca="false">ROUND(I128*Assumptions!$B$7,2)</f>
        <v>8.97</v>
      </c>
      <c r="K128" s="10" t="n">
        <f aca="false">IF(J128&gt;0,ROUND(Assumptions!$B$4/J128,0),9999)</f>
        <v>56</v>
      </c>
      <c r="L128" s="9" t="n">
        <v>157</v>
      </c>
      <c r="M128" s="10" t="n">
        <f aca="false">L128*Assumptions!$B$9</f>
        <v>70.65</v>
      </c>
      <c r="N128" s="17" t="str">
        <f aca="false">IF(K128&lt;=Assumptions!$B$8,"YES ✓",IF(K128&lt;=M128,"TEST","NO ✗"))</f>
        <v>TEST</v>
      </c>
      <c r="O128" s="8" t="s">
        <v>38</v>
      </c>
      <c r="P128" s="17" t="str">
        <f aca="false">IF(N128="YES ✓",IF(O128="English OK","🟢 LAUNCH","🟡 LAUNCH+LOC"),IF(N128="TEST",IF(O128="English OK","🟡 TEST","🟠 TEST+LOC"),"🔴 SKIP"))</f>
        <v>🟡 TEST</v>
      </c>
    </row>
    <row r="129" customFormat="false" ht="15" hidden="false" customHeight="false" outlineLevel="0" collapsed="false">
      <c r="A129" s="8" t="s">
        <v>14</v>
      </c>
      <c r="B129" s="8" t="s">
        <v>54</v>
      </c>
      <c r="C129" s="8" t="s">
        <v>84</v>
      </c>
      <c r="D129" s="12" t="n">
        <v>30</v>
      </c>
      <c r="E129" s="8" t="s">
        <v>37</v>
      </c>
      <c r="F129" s="13" t="n">
        <v>0.42</v>
      </c>
      <c r="G129" s="13" t="n">
        <v>3.1</v>
      </c>
      <c r="H129" s="14" t="n">
        <f aca="false">(F129+G129)/2</f>
        <v>1.76</v>
      </c>
      <c r="I129" s="15" t="n">
        <f aca="false">ROUND(Assumptions!$B$4/H129,0)</f>
        <v>284</v>
      </c>
      <c r="J129" s="16" t="n">
        <f aca="false">ROUND(I129*Assumptions!$B$7,2)</f>
        <v>7.06</v>
      </c>
      <c r="K129" s="10" t="n">
        <f aca="false">IF(J129&gt;0,ROUND(Assumptions!$B$4/J129,0),9999)</f>
        <v>71</v>
      </c>
      <c r="L129" s="9" t="n">
        <v>157</v>
      </c>
      <c r="M129" s="10" t="n">
        <f aca="false">L129*Assumptions!$B$9</f>
        <v>70.65</v>
      </c>
      <c r="N129" s="17" t="str">
        <f aca="false">IF(K129&lt;=Assumptions!$B$8,"YES ✓",IF(K129&lt;=M129,"TEST","NO ✗"))</f>
        <v>NO ✗</v>
      </c>
      <c r="O129" s="8" t="s">
        <v>38</v>
      </c>
      <c r="P129" s="17" t="str">
        <f aca="false">IF(N129="YES ✓",IF(O129="English OK","🟢 LAUNCH","🟡 LAUNCH+LOC"),IF(N129="TEST",IF(O129="English OK","🟡 TEST","🟠 TEST+LOC"),"🔴 SKIP"))</f>
        <v>🔴 SKIP</v>
      </c>
    </row>
    <row r="130" customFormat="false" ht="15" hidden="false" customHeight="false" outlineLevel="0" collapsed="false">
      <c r="A130" s="8" t="s">
        <v>14</v>
      </c>
      <c r="B130" s="8" t="s">
        <v>56</v>
      </c>
      <c r="C130" s="8" t="s">
        <v>84</v>
      </c>
      <c r="D130" s="12" t="n">
        <v>50</v>
      </c>
      <c r="E130" s="8" t="s">
        <v>37</v>
      </c>
      <c r="F130" s="13" t="n">
        <v>0.28</v>
      </c>
      <c r="G130" s="13" t="n">
        <v>2.45</v>
      </c>
      <c r="H130" s="14" t="n">
        <f aca="false">(F130+G130)/2</f>
        <v>1.365</v>
      </c>
      <c r="I130" s="15" t="n">
        <f aca="false">ROUND(Assumptions!$B$4/H130,0)</f>
        <v>366</v>
      </c>
      <c r="J130" s="16" t="n">
        <f aca="false">ROUND(I130*Assumptions!$B$7,2)</f>
        <v>9.1</v>
      </c>
      <c r="K130" s="10" t="n">
        <f aca="false">IF(J130&gt;0,ROUND(Assumptions!$B$4/J130,0),9999)</f>
        <v>55</v>
      </c>
      <c r="L130" s="9" t="n">
        <v>157</v>
      </c>
      <c r="M130" s="10" t="n">
        <f aca="false">L130*Assumptions!$B$9</f>
        <v>70.65</v>
      </c>
      <c r="N130" s="17" t="str">
        <f aca="false">IF(K130&lt;=Assumptions!$B$8,"YES ✓",IF(K130&lt;=M130,"TEST","NO ✗"))</f>
        <v>TEST</v>
      </c>
      <c r="O130" s="8" t="s">
        <v>49</v>
      </c>
      <c r="P130" s="17" t="str">
        <f aca="false">IF(N130="YES ✓",IF(O130="English OK","🟢 LAUNCH","🟡 LAUNCH+LOC"),IF(N130="TEST",IF(O130="English OK","🟡 TEST","🟠 TEST+LOC"),"🔴 SKIP"))</f>
        <v>🟠 TEST+LOC</v>
      </c>
    </row>
    <row r="131" customFormat="false" ht="15" hidden="false" customHeight="false" outlineLevel="0" collapsed="false">
      <c r="A131" s="8" t="s">
        <v>14</v>
      </c>
      <c r="B131" s="8" t="s">
        <v>59</v>
      </c>
      <c r="C131" s="8" t="s">
        <v>85</v>
      </c>
      <c r="D131" s="12" t="n">
        <v>480</v>
      </c>
      <c r="E131" s="8" t="s">
        <v>37</v>
      </c>
      <c r="F131" s="13" t="n">
        <v>0.52</v>
      </c>
      <c r="G131" s="13" t="n">
        <v>4.21</v>
      </c>
      <c r="H131" s="14" t="n">
        <f aca="false">(F131+G131)/2</f>
        <v>2.365</v>
      </c>
      <c r="I131" s="15" t="n">
        <f aca="false">ROUND(Assumptions!$B$4/H131,0)</f>
        <v>211</v>
      </c>
      <c r="J131" s="16" t="n">
        <f aca="false">ROUND(I131*Assumptions!$B$7,2)</f>
        <v>5.24</v>
      </c>
      <c r="K131" s="10" t="n">
        <f aca="false">IF(J131&gt;0,ROUND(Assumptions!$B$4/J131,0),9999)</f>
        <v>95</v>
      </c>
      <c r="L131" s="9" t="n">
        <v>157</v>
      </c>
      <c r="M131" s="10" t="n">
        <f aca="false">L131*Assumptions!$B$9</f>
        <v>70.65</v>
      </c>
      <c r="N131" s="17" t="str">
        <f aca="false">IF(K131&lt;=Assumptions!$B$8,"YES ✓",IF(K131&lt;=M131,"TEST","NO ✗"))</f>
        <v>NO ✗</v>
      </c>
      <c r="O131" s="8" t="s">
        <v>38</v>
      </c>
      <c r="P131" s="17" t="str">
        <f aca="false">IF(N131="YES ✓",IF(O131="English OK","🟢 LAUNCH","🟡 LAUNCH+LOC"),IF(N131="TEST",IF(O131="English OK","🟡 TEST","🟠 TEST+LOC"),"🔴 SKIP"))</f>
        <v>🔴 SKIP</v>
      </c>
    </row>
    <row r="132" customFormat="false" ht="15" hidden="false" customHeight="false" outlineLevel="0" collapsed="false">
      <c r="A132" s="8" t="s">
        <v>14</v>
      </c>
      <c r="B132" s="8" t="s">
        <v>59</v>
      </c>
      <c r="C132" s="8" t="s">
        <v>83</v>
      </c>
      <c r="D132" s="12" t="n">
        <v>260</v>
      </c>
      <c r="E132" s="8" t="s">
        <v>37</v>
      </c>
      <c r="F132" s="13" t="n">
        <v>0.45</v>
      </c>
      <c r="G132" s="13" t="n">
        <v>3.85</v>
      </c>
      <c r="H132" s="14" t="n">
        <f aca="false">(F132+G132)/2</f>
        <v>2.15</v>
      </c>
      <c r="I132" s="15" t="n">
        <f aca="false">ROUND(Assumptions!$B$4/H132,0)</f>
        <v>233</v>
      </c>
      <c r="J132" s="16" t="n">
        <f aca="false">ROUND(I132*Assumptions!$B$7,2)</f>
        <v>5.79</v>
      </c>
      <c r="K132" s="10" t="n">
        <f aca="false">IF(J132&gt;0,ROUND(Assumptions!$B$4/J132,0),9999)</f>
        <v>86</v>
      </c>
      <c r="L132" s="9" t="n">
        <v>157</v>
      </c>
      <c r="M132" s="10" t="n">
        <f aca="false">L132*Assumptions!$B$9</f>
        <v>70.65</v>
      </c>
      <c r="N132" s="17" t="str">
        <f aca="false">IF(K132&lt;=Assumptions!$B$8,"YES ✓",IF(K132&lt;=M132,"TEST","NO ✗"))</f>
        <v>NO ✗</v>
      </c>
      <c r="O132" s="8" t="s">
        <v>38</v>
      </c>
      <c r="P132" s="17" t="str">
        <f aca="false">IF(N132="YES ✓",IF(O132="English OK","🟢 LAUNCH","🟡 LAUNCH+LOC"),IF(N132="TEST",IF(O132="English OK","🟡 TEST","🟠 TEST+LOC"),"🔴 SKIP"))</f>
        <v>🔴 SKIP</v>
      </c>
    </row>
    <row r="133" customFormat="false" ht="15" hidden="false" customHeight="false" outlineLevel="0" collapsed="false">
      <c r="A133" s="8" t="s">
        <v>14</v>
      </c>
      <c r="B133" s="8" t="s">
        <v>60</v>
      </c>
      <c r="C133" s="8" t="s">
        <v>85</v>
      </c>
      <c r="D133" s="12" t="n">
        <v>170</v>
      </c>
      <c r="E133" s="8" t="s">
        <v>37</v>
      </c>
      <c r="F133" s="13" t="n">
        <v>0.48</v>
      </c>
      <c r="G133" s="13" t="n">
        <v>3.85</v>
      </c>
      <c r="H133" s="14" t="n">
        <f aca="false">(F133+G133)/2</f>
        <v>2.165</v>
      </c>
      <c r="I133" s="15" t="n">
        <f aca="false">ROUND(Assumptions!$B$4/H133,0)</f>
        <v>231</v>
      </c>
      <c r="J133" s="16" t="n">
        <f aca="false">ROUND(I133*Assumptions!$B$7,2)</f>
        <v>5.74</v>
      </c>
      <c r="K133" s="10" t="n">
        <f aca="false">IF(J133&gt;0,ROUND(Assumptions!$B$4/J133,0),9999)</f>
        <v>87</v>
      </c>
      <c r="L133" s="9" t="n">
        <v>157</v>
      </c>
      <c r="M133" s="10" t="n">
        <f aca="false">L133*Assumptions!$B$9</f>
        <v>70.65</v>
      </c>
      <c r="N133" s="17" t="str">
        <f aca="false">IF(K133&lt;=Assumptions!$B$8,"YES ✓",IF(K133&lt;=M133,"TEST","NO ✗"))</f>
        <v>NO ✗</v>
      </c>
      <c r="O133" s="8" t="s">
        <v>49</v>
      </c>
      <c r="P133" s="17" t="str">
        <f aca="false">IF(N133="YES ✓",IF(O133="English OK","🟢 LAUNCH","🟡 LAUNCH+LOC"),IF(N133="TEST",IF(O133="English OK","🟡 TEST","🟠 TEST+LOC"),"🔴 SKIP"))</f>
        <v>🔴 SKIP</v>
      </c>
    </row>
    <row r="134" customFormat="false" ht="15" hidden="false" customHeight="false" outlineLevel="0" collapsed="false">
      <c r="A134" s="8" t="s">
        <v>14</v>
      </c>
      <c r="B134" s="8" t="s">
        <v>62</v>
      </c>
      <c r="C134" s="8" t="s">
        <v>85</v>
      </c>
      <c r="D134" s="12" t="n">
        <v>170</v>
      </c>
      <c r="E134" s="8" t="s">
        <v>37</v>
      </c>
      <c r="F134" s="13" t="n">
        <v>0.68</v>
      </c>
      <c r="G134" s="13" t="n">
        <v>5.12</v>
      </c>
      <c r="H134" s="14" t="n">
        <f aca="false">(F134+G134)/2</f>
        <v>2.9</v>
      </c>
      <c r="I134" s="15" t="n">
        <f aca="false">ROUND(Assumptions!$B$4/H134,0)</f>
        <v>172</v>
      </c>
      <c r="J134" s="16" t="n">
        <f aca="false">ROUND(I134*Assumptions!$B$7,2)</f>
        <v>4.27</v>
      </c>
      <c r="K134" s="10" t="n">
        <f aca="false">IF(J134&gt;0,ROUND(Assumptions!$B$4/J134,0),9999)</f>
        <v>117</v>
      </c>
      <c r="L134" s="9" t="n">
        <v>157</v>
      </c>
      <c r="M134" s="10" t="n">
        <f aca="false">L134*Assumptions!$B$9</f>
        <v>70.65</v>
      </c>
      <c r="N134" s="17" t="str">
        <f aca="false">IF(K134&lt;=Assumptions!$B$8,"YES ✓",IF(K134&lt;=M134,"TEST","NO ✗"))</f>
        <v>NO ✗</v>
      </c>
      <c r="O134" s="8" t="s">
        <v>38</v>
      </c>
      <c r="P134" s="17" t="str">
        <f aca="false">IF(N134="YES ✓",IF(O134="English OK","🟢 LAUNCH","🟡 LAUNCH+LOC"),IF(N134="TEST",IF(O134="English OK","🟡 TEST","🟠 TEST+LOC"),"🔴 SKIP"))</f>
        <v>🔴 SKIP</v>
      </c>
    </row>
    <row r="135" customFormat="false" ht="15" hidden="false" customHeight="false" outlineLevel="0" collapsed="false">
      <c r="A135" s="8" t="s">
        <v>14</v>
      </c>
      <c r="B135" s="8" t="s">
        <v>64</v>
      </c>
      <c r="C135" s="8" t="s">
        <v>85</v>
      </c>
      <c r="D135" s="12" t="n">
        <v>1000</v>
      </c>
      <c r="E135" s="8" t="s">
        <v>37</v>
      </c>
      <c r="F135" s="13" t="n">
        <v>0.55</v>
      </c>
      <c r="G135" s="13" t="n">
        <v>4.87</v>
      </c>
      <c r="H135" s="14" t="n">
        <f aca="false">(F135+G135)/2</f>
        <v>2.71</v>
      </c>
      <c r="I135" s="15" t="n">
        <f aca="false">ROUND(Assumptions!$B$4/H135,0)</f>
        <v>185</v>
      </c>
      <c r="J135" s="16" t="n">
        <f aca="false">ROUND(I135*Assumptions!$B$7,2)</f>
        <v>4.6</v>
      </c>
      <c r="K135" s="10" t="n">
        <f aca="false">IF(J135&gt;0,ROUND(Assumptions!$B$4/J135,0),9999)</f>
        <v>109</v>
      </c>
      <c r="L135" s="9" t="n">
        <v>157</v>
      </c>
      <c r="M135" s="10" t="n">
        <f aca="false">L135*Assumptions!$B$9</f>
        <v>70.65</v>
      </c>
      <c r="N135" s="17" t="str">
        <f aca="false">IF(K135&lt;=Assumptions!$B$8,"YES ✓",IF(K135&lt;=M135,"TEST","NO ✗"))</f>
        <v>NO ✗</v>
      </c>
      <c r="O135" s="8" t="s">
        <v>38</v>
      </c>
      <c r="P135" s="17" t="str">
        <f aca="false">IF(N135="YES ✓",IF(O135="English OK","🟢 LAUNCH","🟡 LAUNCH+LOC"),IF(N135="TEST",IF(O135="English OK","🟡 TEST","🟠 TEST+LOC"),"🔴 SKIP"))</f>
        <v>🔴 SKIP</v>
      </c>
    </row>
    <row r="136" customFormat="false" ht="15" hidden="false" customHeight="false" outlineLevel="0" collapsed="false">
      <c r="A136" s="8" t="s">
        <v>14</v>
      </c>
      <c r="B136" s="8" t="s">
        <v>64</v>
      </c>
      <c r="C136" s="8" t="s">
        <v>83</v>
      </c>
      <c r="D136" s="12" t="n">
        <v>260</v>
      </c>
      <c r="E136" s="8" t="s">
        <v>37</v>
      </c>
      <c r="F136" s="13" t="n">
        <v>0.48</v>
      </c>
      <c r="G136" s="13" t="n">
        <v>4.25</v>
      </c>
      <c r="H136" s="14" t="n">
        <f aca="false">(F136+G136)/2</f>
        <v>2.365</v>
      </c>
      <c r="I136" s="15" t="n">
        <f aca="false">ROUND(Assumptions!$B$4/H136,0)</f>
        <v>211</v>
      </c>
      <c r="J136" s="16" t="n">
        <f aca="false">ROUND(I136*Assumptions!$B$7,2)</f>
        <v>5.24</v>
      </c>
      <c r="K136" s="10" t="n">
        <f aca="false">IF(J136&gt;0,ROUND(Assumptions!$B$4/J136,0),9999)</f>
        <v>95</v>
      </c>
      <c r="L136" s="9" t="n">
        <v>157</v>
      </c>
      <c r="M136" s="10" t="n">
        <f aca="false">L136*Assumptions!$B$9</f>
        <v>70.65</v>
      </c>
      <c r="N136" s="17" t="str">
        <f aca="false">IF(K136&lt;=Assumptions!$B$8,"YES ✓",IF(K136&lt;=M136,"TEST","NO ✗"))</f>
        <v>NO ✗</v>
      </c>
      <c r="O136" s="8" t="s">
        <v>38</v>
      </c>
      <c r="P136" s="17" t="str">
        <f aca="false">IF(N136="YES ✓",IF(O136="English OK","🟢 LAUNCH","🟡 LAUNCH+LOC"),IF(N136="TEST",IF(O136="English OK","🟡 TEST","🟠 TEST+LOC"),"🔴 SKIP"))</f>
        <v>🔴 SKIP</v>
      </c>
    </row>
    <row r="137" customFormat="false" ht="15" hidden="false" customHeight="false" outlineLevel="0" collapsed="false">
      <c r="A137" s="8" t="s">
        <v>14</v>
      </c>
      <c r="B137" s="8" t="s">
        <v>65</v>
      </c>
      <c r="C137" s="8" t="s">
        <v>85</v>
      </c>
      <c r="D137" s="12" t="n">
        <v>6600</v>
      </c>
      <c r="E137" s="8" t="s">
        <v>37</v>
      </c>
      <c r="F137" s="13" t="n">
        <v>1.12</v>
      </c>
      <c r="G137" s="13" t="n">
        <v>6.45</v>
      </c>
      <c r="H137" s="14" t="n">
        <f aca="false">(F137+G137)/2</f>
        <v>3.785</v>
      </c>
      <c r="I137" s="15" t="n">
        <f aca="false">ROUND(Assumptions!$B$4/H137,0)</f>
        <v>132</v>
      </c>
      <c r="J137" s="16" t="n">
        <f aca="false">ROUND(I137*Assumptions!$B$7,2)</f>
        <v>3.28</v>
      </c>
      <c r="K137" s="10" t="n">
        <f aca="false">IF(J137&gt;0,ROUND(Assumptions!$B$4/J137,0),9999)</f>
        <v>152</v>
      </c>
      <c r="L137" s="9" t="n">
        <v>157</v>
      </c>
      <c r="M137" s="10" t="n">
        <f aca="false">L137*Assumptions!$B$9</f>
        <v>70.65</v>
      </c>
      <c r="N137" s="17" t="str">
        <f aca="false">IF(K137&lt;=Assumptions!$B$8,"YES ✓",IF(K137&lt;=M137,"TEST","NO ✗"))</f>
        <v>NO ✗</v>
      </c>
      <c r="O137" s="8" t="s">
        <v>38</v>
      </c>
      <c r="P137" s="17" t="str">
        <f aca="false">IF(N137="YES ✓",IF(O137="English OK","🟢 LAUNCH","🟡 LAUNCH+LOC"),IF(N137="TEST",IF(O137="English OK","🟡 TEST","🟠 TEST+LOC"),"🔴 SKIP"))</f>
        <v>🔴 SKIP</v>
      </c>
    </row>
    <row r="138" customFormat="false" ht="15" hidden="false" customHeight="false" outlineLevel="0" collapsed="false">
      <c r="A138" s="8" t="s">
        <v>14</v>
      </c>
      <c r="B138" s="8" t="s">
        <v>65</v>
      </c>
      <c r="C138" s="8" t="s">
        <v>83</v>
      </c>
      <c r="D138" s="12" t="n">
        <v>2900</v>
      </c>
      <c r="E138" s="8" t="s">
        <v>37</v>
      </c>
      <c r="F138" s="13" t="n">
        <v>0.95</v>
      </c>
      <c r="G138" s="13" t="n">
        <v>5.85</v>
      </c>
      <c r="H138" s="14" t="n">
        <f aca="false">(F138+G138)/2</f>
        <v>3.4</v>
      </c>
      <c r="I138" s="15" t="n">
        <f aca="false">ROUND(Assumptions!$B$4/H138,0)</f>
        <v>147</v>
      </c>
      <c r="J138" s="16" t="n">
        <f aca="false">ROUND(I138*Assumptions!$B$7,2)</f>
        <v>3.65</v>
      </c>
      <c r="K138" s="10" t="n">
        <f aca="false">IF(J138&gt;0,ROUND(Assumptions!$B$4/J138,0),9999)</f>
        <v>137</v>
      </c>
      <c r="L138" s="9" t="n">
        <v>157</v>
      </c>
      <c r="M138" s="10" t="n">
        <f aca="false">L138*Assumptions!$B$9</f>
        <v>70.65</v>
      </c>
      <c r="N138" s="17" t="str">
        <f aca="false">IF(K138&lt;=Assumptions!$B$8,"YES ✓",IF(K138&lt;=M138,"TEST","NO ✗"))</f>
        <v>NO ✗</v>
      </c>
      <c r="O138" s="8" t="s">
        <v>38</v>
      </c>
      <c r="P138" s="17" t="str">
        <f aca="false">IF(N138="YES ✓",IF(O138="English OK","🟢 LAUNCH","🟡 LAUNCH+LOC"),IF(N138="TEST",IF(O138="English OK","🟡 TEST","🟠 TEST+LOC"),"🔴 SKIP"))</f>
        <v>🔴 SKIP</v>
      </c>
    </row>
    <row r="139" customFormat="false" ht="15" hidden="false" customHeight="false" outlineLevel="0" collapsed="false">
      <c r="A139" s="8" t="s">
        <v>14</v>
      </c>
      <c r="B139" s="8" t="s">
        <v>66</v>
      </c>
      <c r="C139" s="8" t="s">
        <v>85</v>
      </c>
      <c r="D139" s="12" t="n">
        <v>2400</v>
      </c>
      <c r="E139" s="8" t="s">
        <v>37</v>
      </c>
      <c r="F139" s="13" t="n">
        <v>0.98</v>
      </c>
      <c r="G139" s="13" t="n">
        <v>5.67</v>
      </c>
      <c r="H139" s="14" t="n">
        <f aca="false">(F139+G139)/2</f>
        <v>3.325</v>
      </c>
      <c r="I139" s="15" t="n">
        <f aca="false">ROUND(Assumptions!$B$4/H139,0)</f>
        <v>150</v>
      </c>
      <c r="J139" s="16" t="n">
        <f aca="false">ROUND(I139*Assumptions!$B$7,2)</f>
        <v>3.73</v>
      </c>
      <c r="K139" s="10" t="n">
        <f aca="false">IF(J139&gt;0,ROUND(Assumptions!$B$4/J139,0),9999)</f>
        <v>134</v>
      </c>
      <c r="L139" s="9" t="n">
        <v>157</v>
      </c>
      <c r="M139" s="10" t="n">
        <f aca="false">L139*Assumptions!$B$9</f>
        <v>70.65</v>
      </c>
      <c r="N139" s="17" t="str">
        <f aca="false">IF(K139&lt;=Assumptions!$B$8,"YES ✓",IF(K139&lt;=M139,"TEST","NO ✗"))</f>
        <v>NO ✗</v>
      </c>
      <c r="O139" s="8" t="s">
        <v>38</v>
      </c>
      <c r="P139" s="17" t="str">
        <f aca="false">IF(N139="YES ✓",IF(O139="English OK","🟢 LAUNCH","🟡 LAUNCH+LOC"),IF(N139="TEST",IF(O139="English OK","🟡 TEST","🟠 TEST+LOC"),"🔴 SKIP"))</f>
        <v>🔴 SKIP</v>
      </c>
    </row>
    <row r="140" customFormat="false" ht="15" hidden="false" customHeight="false" outlineLevel="0" collapsed="false">
      <c r="A140" s="8" t="s">
        <v>15</v>
      </c>
      <c r="B140" s="8" t="s">
        <v>35</v>
      </c>
      <c r="C140" s="8" t="s">
        <v>87</v>
      </c>
      <c r="D140" s="12" t="n">
        <v>50</v>
      </c>
      <c r="E140" s="8" t="s">
        <v>37</v>
      </c>
      <c r="F140" s="13" t="n">
        <v>0.08</v>
      </c>
      <c r="G140" s="13" t="n">
        <v>0.65</v>
      </c>
      <c r="H140" s="14" t="n">
        <f aca="false">(F140+G140)/2</f>
        <v>0.365</v>
      </c>
      <c r="I140" s="15" t="n">
        <f aca="false">ROUND(Assumptions!$B$4/H140,0)</f>
        <v>1370</v>
      </c>
      <c r="J140" s="16" t="n">
        <f aca="false">ROUND(I140*Assumptions!$B$7,2)</f>
        <v>34.04</v>
      </c>
      <c r="K140" s="10" t="n">
        <f aca="false">IF(J140&gt;0,ROUND(Assumptions!$B$4/J140,0),9999)</f>
        <v>15</v>
      </c>
      <c r="L140" s="9" t="n">
        <v>158</v>
      </c>
      <c r="M140" s="10" t="n">
        <f aca="false">L140*Assumptions!$B$9</f>
        <v>71.1</v>
      </c>
      <c r="N140" s="17" t="str">
        <f aca="false">IF(K140&lt;=Assumptions!$B$8,"YES ✓",IF(K140&lt;=M140,"TEST","NO ✗"))</f>
        <v>YES ✓</v>
      </c>
      <c r="O140" s="8" t="s">
        <v>38</v>
      </c>
      <c r="P140" s="17" t="str">
        <f aca="false">IF(N140="YES ✓",IF(O140="English OK","🟢 LAUNCH","🟡 LAUNCH+LOC"),IF(N140="TEST",IF(O140="English OK","🟡 TEST","🟠 TEST+LOC"),"🔴 SKIP"))</f>
        <v>🟢 LAUNCH</v>
      </c>
    </row>
    <row r="141" customFormat="false" ht="15" hidden="false" customHeight="false" outlineLevel="0" collapsed="false">
      <c r="A141" s="8" t="s">
        <v>15</v>
      </c>
      <c r="B141" s="8" t="s">
        <v>45</v>
      </c>
      <c r="C141" s="8" t="s">
        <v>87</v>
      </c>
      <c r="D141" s="12" t="n">
        <v>210</v>
      </c>
      <c r="E141" s="8" t="s">
        <v>37</v>
      </c>
      <c r="F141" s="13" t="n">
        <v>0.15</v>
      </c>
      <c r="G141" s="13" t="n">
        <v>0.89</v>
      </c>
      <c r="H141" s="14" t="n">
        <f aca="false">(F141+G141)/2</f>
        <v>0.52</v>
      </c>
      <c r="I141" s="15" t="n">
        <f aca="false">ROUND(Assumptions!$B$4/H141,0)</f>
        <v>962</v>
      </c>
      <c r="J141" s="16" t="n">
        <f aca="false">ROUND(I141*Assumptions!$B$7,2)</f>
        <v>23.91</v>
      </c>
      <c r="K141" s="10" t="n">
        <f aca="false">IF(J141&gt;0,ROUND(Assumptions!$B$4/J141,0),9999)</f>
        <v>21</v>
      </c>
      <c r="L141" s="9" t="n">
        <v>158</v>
      </c>
      <c r="M141" s="10" t="n">
        <f aca="false">L141*Assumptions!$B$9</f>
        <v>71.1</v>
      </c>
      <c r="N141" s="17" t="str">
        <f aca="false">IF(K141&lt;=Assumptions!$B$8,"YES ✓",IF(K141&lt;=M141,"TEST","NO ✗"))</f>
        <v>YES ✓</v>
      </c>
      <c r="O141" s="8" t="s">
        <v>38</v>
      </c>
      <c r="P141" s="17" t="str">
        <f aca="false">IF(N141="YES ✓",IF(O141="English OK","🟢 LAUNCH","🟡 LAUNCH+LOC"),IF(N141="TEST",IF(O141="English OK","🟡 TEST","🟠 TEST+LOC"),"🔴 SKIP"))</f>
        <v>🟢 LAUNCH</v>
      </c>
    </row>
    <row r="142" customFormat="false" ht="15" hidden="false" customHeight="false" outlineLevel="0" collapsed="false">
      <c r="A142" s="8" t="s">
        <v>15</v>
      </c>
      <c r="B142" s="8" t="s">
        <v>47</v>
      </c>
      <c r="C142" s="8" t="s">
        <v>87</v>
      </c>
      <c r="D142" s="12" t="n">
        <v>70</v>
      </c>
      <c r="E142" s="8" t="s">
        <v>37</v>
      </c>
      <c r="F142" s="13" t="n">
        <v>0.12</v>
      </c>
      <c r="G142" s="13" t="n">
        <v>1.2</v>
      </c>
      <c r="H142" s="14" t="n">
        <f aca="false">(F142+G142)/2</f>
        <v>0.66</v>
      </c>
      <c r="I142" s="15" t="n">
        <f aca="false">ROUND(Assumptions!$B$4/H142,0)</f>
        <v>758</v>
      </c>
      <c r="J142" s="16" t="n">
        <f aca="false">ROUND(I142*Assumptions!$B$7,2)</f>
        <v>18.84</v>
      </c>
      <c r="K142" s="10" t="n">
        <f aca="false">IF(J142&gt;0,ROUND(Assumptions!$B$4/J142,0),9999)</f>
        <v>27</v>
      </c>
      <c r="L142" s="9" t="n">
        <v>158</v>
      </c>
      <c r="M142" s="10" t="n">
        <f aca="false">L142*Assumptions!$B$9</f>
        <v>71.1</v>
      </c>
      <c r="N142" s="17" t="str">
        <f aca="false">IF(K142&lt;=Assumptions!$B$8,"YES ✓",IF(K142&lt;=M142,"TEST","NO ✗"))</f>
        <v>YES ✓</v>
      </c>
      <c r="O142" s="8" t="s">
        <v>49</v>
      </c>
      <c r="P142" s="17" t="str">
        <f aca="false">IF(N142="YES ✓",IF(O142="English OK","🟢 LAUNCH","🟡 LAUNCH+LOC"),IF(N142="TEST",IF(O142="English OK","🟡 TEST","🟠 TEST+LOC"),"🔴 SKIP"))</f>
        <v>🟡 LAUNCH+LOC</v>
      </c>
    </row>
    <row r="143" customFormat="false" ht="15" hidden="false" customHeight="false" outlineLevel="0" collapsed="false">
      <c r="A143" s="8" t="s">
        <v>15</v>
      </c>
      <c r="B143" s="8" t="s">
        <v>53</v>
      </c>
      <c r="C143" s="8" t="s">
        <v>87</v>
      </c>
      <c r="D143" s="12" t="n">
        <v>140</v>
      </c>
      <c r="E143" s="8" t="s">
        <v>37</v>
      </c>
      <c r="F143" s="13" t="n">
        <v>0.28</v>
      </c>
      <c r="G143" s="13" t="n">
        <v>1.75</v>
      </c>
      <c r="H143" s="14" t="n">
        <f aca="false">(F143+G143)/2</f>
        <v>1.015</v>
      </c>
      <c r="I143" s="15" t="n">
        <f aca="false">ROUND(Assumptions!$B$4/H143,0)</f>
        <v>493</v>
      </c>
      <c r="J143" s="16" t="n">
        <f aca="false">ROUND(I143*Assumptions!$B$7,2)</f>
        <v>12.25</v>
      </c>
      <c r="K143" s="10" t="n">
        <f aca="false">IF(J143&gt;0,ROUND(Assumptions!$B$4/J143,0),9999)</f>
        <v>41</v>
      </c>
      <c r="L143" s="9" t="n">
        <v>158</v>
      </c>
      <c r="M143" s="10" t="n">
        <f aca="false">L143*Assumptions!$B$9</f>
        <v>71.1</v>
      </c>
      <c r="N143" s="17" t="str">
        <f aca="false">IF(K143&lt;=Assumptions!$B$8,"YES ✓",IF(K143&lt;=M143,"TEST","NO ✗"))</f>
        <v>YES ✓</v>
      </c>
      <c r="O143" s="8" t="s">
        <v>38</v>
      </c>
      <c r="P143" s="17" t="str">
        <f aca="false">IF(N143="YES ✓",IF(O143="English OK","🟢 LAUNCH","🟡 LAUNCH+LOC"),IF(N143="TEST",IF(O143="English OK","🟡 TEST","🟠 TEST+LOC"),"🔴 SKIP"))</f>
        <v>🟢 LAUNCH</v>
      </c>
    </row>
    <row r="144" customFormat="false" ht="15" hidden="false" customHeight="false" outlineLevel="0" collapsed="false">
      <c r="A144" s="8" t="s">
        <v>15</v>
      </c>
      <c r="B144" s="8" t="s">
        <v>54</v>
      </c>
      <c r="C144" s="8" t="s">
        <v>87</v>
      </c>
      <c r="D144" s="12" t="n">
        <v>90</v>
      </c>
      <c r="E144" s="8" t="s">
        <v>37</v>
      </c>
      <c r="F144" s="13" t="n">
        <v>0.35</v>
      </c>
      <c r="G144" s="13" t="n">
        <v>2.1</v>
      </c>
      <c r="H144" s="14" t="n">
        <f aca="false">(F144+G144)/2</f>
        <v>1.225</v>
      </c>
      <c r="I144" s="15" t="n">
        <f aca="false">ROUND(Assumptions!$B$4/H144,0)</f>
        <v>408</v>
      </c>
      <c r="J144" s="16" t="n">
        <f aca="false">ROUND(I144*Assumptions!$B$7,2)</f>
        <v>10.14</v>
      </c>
      <c r="K144" s="10" t="n">
        <f aca="false">IF(J144&gt;0,ROUND(Assumptions!$B$4/J144,0),9999)</f>
        <v>49</v>
      </c>
      <c r="L144" s="9" t="n">
        <v>158</v>
      </c>
      <c r="M144" s="10" t="n">
        <f aca="false">L144*Assumptions!$B$9</f>
        <v>71.1</v>
      </c>
      <c r="N144" s="17" t="str">
        <f aca="false">IF(K144&lt;=Assumptions!$B$8,"YES ✓",IF(K144&lt;=M144,"TEST","NO ✗"))</f>
        <v>YES ✓</v>
      </c>
      <c r="O144" s="8" t="s">
        <v>38</v>
      </c>
      <c r="P144" s="17" t="str">
        <f aca="false">IF(N144="YES ✓",IF(O144="English OK","🟢 LAUNCH","🟡 LAUNCH+LOC"),IF(N144="TEST",IF(O144="English OK","🟡 TEST","🟠 TEST+LOC"),"🔴 SKIP"))</f>
        <v>🟢 LAUNCH</v>
      </c>
    </row>
    <row r="145" customFormat="false" ht="15" hidden="false" customHeight="false" outlineLevel="0" collapsed="false">
      <c r="A145" s="8" t="s">
        <v>15</v>
      </c>
      <c r="B145" s="8" t="s">
        <v>56</v>
      </c>
      <c r="C145" s="8" t="s">
        <v>88</v>
      </c>
      <c r="D145" s="12" t="n">
        <v>10</v>
      </c>
      <c r="E145" s="8" t="s">
        <v>89</v>
      </c>
      <c r="F145" s="13" t="n">
        <v>0.18</v>
      </c>
      <c r="G145" s="13" t="n">
        <v>1.45</v>
      </c>
      <c r="H145" s="14" t="n">
        <f aca="false">(F145+G145)/2</f>
        <v>0.815</v>
      </c>
      <c r="I145" s="15" t="n">
        <f aca="false">ROUND(Assumptions!$B$4/H145,0)</f>
        <v>613</v>
      </c>
      <c r="J145" s="16" t="n">
        <f aca="false">ROUND(I145*Assumptions!$B$7,2)</f>
        <v>15.23</v>
      </c>
      <c r="K145" s="10" t="n">
        <f aca="false">IF(J145&gt;0,ROUND(Assumptions!$B$4/J145,0),9999)</f>
        <v>33</v>
      </c>
      <c r="L145" s="9" t="n">
        <v>158</v>
      </c>
      <c r="M145" s="10" t="n">
        <f aca="false">L145*Assumptions!$B$9</f>
        <v>71.1</v>
      </c>
      <c r="N145" s="17" t="str">
        <f aca="false">IF(K145&lt;=Assumptions!$B$8,"YES ✓",IF(K145&lt;=M145,"TEST","NO ✗"))</f>
        <v>YES ✓</v>
      </c>
      <c r="O145" s="8" t="s">
        <v>49</v>
      </c>
      <c r="P145" s="17" t="str">
        <f aca="false">IF(N145="YES ✓",IF(O145="English OK","🟢 LAUNCH","🟡 LAUNCH+LOC"),IF(N145="TEST",IF(O145="English OK","🟡 TEST","🟠 TEST+LOC"),"🔴 SKIP"))</f>
        <v>🟡 LAUNCH+LOC</v>
      </c>
    </row>
    <row r="146" customFormat="false" ht="15" hidden="false" customHeight="false" outlineLevel="0" collapsed="false">
      <c r="A146" s="8" t="s">
        <v>15</v>
      </c>
      <c r="B146" s="8" t="s">
        <v>59</v>
      </c>
      <c r="C146" s="8" t="s">
        <v>87</v>
      </c>
      <c r="D146" s="12" t="n">
        <v>70</v>
      </c>
      <c r="E146" s="8" t="s">
        <v>37</v>
      </c>
      <c r="F146" s="13" t="n">
        <v>0.32</v>
      </c>
      <c r="G146" s="13" t="n">
        <v>2.4</v>
      </c>
      <c r="H146" s="14" t="n">
        <f aca="false">(F146+G146)/2</f>
        <v>1.36</v>
      </c>
      <c r="I146" s="15" t="n">
        <f aca="false">ROUND(Assumptions!$B$4/H146,0)</f>
        <v>368</v>
      </c>
      <c r="J146" s="16" t="n">
        <f aca="false">ROUND(I146*Assumptions!$B$7,2)</f>
        <v>9.14</v>
      </c>
      <c r="K146" s="10" t="n">
        <f aca="false">IF(J146&gt;0,ROUND(Assumptions!$B$4/J146,0),9999)</f>
        <v>55</v>
      </c>
      <c r="L146" s="9" t="n">
        <v>158</v>
      </c>
      <c r="M146" s="10" t="n">
        <f aca="false">L146*Assumptions!$B$9</f>
        <v>71.1</v>
      </c>
      <c r="N146" s="17" t="str">
        <f aca="false">IF(K146&lt;=Assumptions!$B$8,"YES ✓",IF(K146&lt;=M146,"TEST","NO ✗"))</f>
        <v>TEST</v>
      </c>
      <c r="O146" s="8" t="s">
        <v>38</v>
      </c>
      <c r="P146" s="17" t="str">
        <f aca="false">IF(N146="YES ✓",IF(O146="English OK","🟢 LAUNCH","🟡 LAUNCH+LOC"),IF(N146="TEST",IF(O146="English OK","🟡 TEST","🟠 TEST+LOC"),"🔴 SKIP"))</f>
        <v>🟡 TEST</v>
      </c>
    </row>
    <row r="147" customFormat="false" ht="15" hidden="false" customHeight="false" outlineLevel="0" collapsed="false">
      <c r="A147" s="8" t="s">
        <v>15</v>
      </c>
      <c r="B147" s="8" t="s">
        <v>62</v>
      </c>
      <c r="C147" s="8" t="s">
        <v>87</v>
      </c>
      <c r="D147" s="12" t="n">
        <v>50</v>
      </c>
      <c r="E147" s="8" t="s">
        <v>37</v>
      </c>
      <c r="F147" s="13" t="n">
        <v>0.55</v>
      </c>
      <c r="G147" s="13" t="n">
        <v>3.2</v>
      </c>
      <c r="H147" s="14" t="n">
        <f aca="false">(F147+G147)/2</f>
        <v>1.875</v>
      </c>
      <c r="I147" s="15" t="n">
        <f aca="false">ROUND(Assumptions!$B$4/H147,0)</f>
        <v>267</v>
      </c>
      <c r="J147" s="16" t="n">
        <f aca="false">ROUND(I147*Assumptions!$B$7,2)</f>
        <v>6.63</v>
      </c>
      <c r="K147" s="10" t="n">
        <f aca="false">IF(J147&gt;0,ROUND(Assumptions!$B$4/J147,0),9999)</f>
        <v>75</v>
      </c>
      <c r="L147" s="9" t="n">
        <v>158</v>
      </c>
      <c r="M147" s="10" t="n">
        <f aca="false">L147*Assumptions!$B$9</f>
        <v>71.1</v>
      </c>
      <c r="N147" s="17" t="str">
        <f aca="false">IF(K147&lt;=Assumptions!$B$8,"YES ✓",IF(K147&lt;=M147,"TEST","NO ✗"))</f>
        <v>NO ✗</v>
      </c>
      <c r="O147" s="8" t="s">
        <v>38</v>
      </c>
      <c r="P147" s="17" t="str">
        <f aca="false">IF(N147="YES ✓",IF(O147="English OK","🟢 LAUNCH","🟡 LAUNCH+LOC"),IF(N147="TEST",IF(O147="English OK","🟡 TEST","🟠 TEST+LOC"),"🔴 SKIP"))</f>
        <v>🔴 SKIP</v>
      </c>
    </row>
    <row r="148" customFormat="false" ht="15" hidden="false" customHeight="false" outlineLevel="0" collapsed="false">
      <c r="A148" s="8" t="s">
        <v>15</v>
      </c>
      <c r="B148" s="8" t="s">
        <v>64</v>
      </c>
      <c r="C148" s="8" t="s">
        <v>87</v>
      </c>
      <c r="D148" s="12" t="n">
        <v>320</v>
      </c>
      <c r="E148" s="8" t="s">
        <v>37</v>
      </c>
      <c r="F148" s="13" t="n">
        <v>0.48</v>
      </c>
      <c r="G148" s="13" t="n">
        <v>3.45</v>
      </c>
      <c r="H148" s="14" t="n">
        <f aca="false">(F148+G148)/2</f>
        <v>1.965</v>
      </c>
      <c r="I148" s="15" t="n">
        <f aca="false">ROUND(Assumptions!$B$4/H148,0)</f>
        <v>254</v>
      </c>
      <c r="J148" s="16" t="n">
        <f aca="false">ROUND(I148*Assumptions!$B$7,2)</f>
        <v>6.31</v>
      </c>
      <c r="K148" s="10" t="n">
        <f aca="false">IF(J148&gt;0,ROUND(Assumptions!$B$4/J148,0),9999)</f>
        <v>79</v>
      </c>
      <c r="L148" s="9" t="n">
        <v>158</v>
      </c>
      <c r="M148" s="10" t="n">
        <f aca="false">L148*Assumptions!$B$9</f>
        <v>71.1</v>
      </c>
      <c r="N148" s="17" t="str">
        <f aca="false">IF(K148&lt;=Assumptions!$B$8,"YES ✓",IF(K148&lt;=M148,"TEST","NO ✗"))</f>
        <v>NO ✗</v>
      </c>
      <c r="O148" s="8" t="s">
        <v>38</v>
      </c>
      <c r="P148" s="17" t="str">
        <f aca="false">IF(N148="YES ✓",IF(O148="English OK","🟢 LAUNCH","🟡 LAUNCH+LOC"),IF(N148="TEST",IF(O148="English OK","🟡 TEST","🟠 TEST+LOC"),"🔴 SKIP"))</f>
        <v>🔴 SKIP</v>
      </c>
    </row>
    <row r="149" customFormat="false" ht="15" hidden="false" customHeight="false" outlineLevel="0" collapsed="false">
      <c r="A149" s="8" t="s">
        <v>15</v>
      </c>
      <c r="B149" s="8" t="s">
        <v>65</v>
      </c>
      <c r="C149" s="8" t="s">
        <v>87</v>
      </c>
      <c r="D149" s="12" t="n">
        <v>590</v>
      </c>
      <c r="E149" s="8" t="s">
        <v>37</v>
      </c>
      <c r="F149" s="13" t="n">
        <v>0.85</v>
      </c>
      <c r="G149" s="13" t="n">
        <v>4.9</v>
      </c>
      <c r="H149" s="14" t="n">
        <f aca="false">(F149+G149)/2</f>
        <v>2.875</v>
      </c>
      <c r="I149" s="15" t="n">
        <f aca="false">ROUND(Assumptions!$B$4/H149,0)</f>
        <v>174</v>
      </c>
      <c r="J149" s="16" t="n">
        <f aca="false">ROUND(I149*Assumptions!$B$7,2)</f>
        <v>4.32</v>
      </c>
      <c r="K149" s="10" t="n">
        <f aca="false">IF(J149&gt;0,ROUND(Assumptions!$B$4/J149,0),9999)</f>
        <v>116</v>
      </c>
      <c r="L149" s="9" t="n">
        <v>158</v>
      </c>
      <c r="M149" s="10" t="n">
        <f aca="false">L149*Assumptions!$B$9</f>
        <v>71.1</v>
      </c>
      <c r="N149" s="17" t="str">
        <f aca="false">IF(K149&lt;=Assumptions!$B$8,"YES ✓",IF(K149&lt;=M149,"TEST","NO ✗"))</f>
        <v>NO ✗</v>
      </c>
      <c r="O149" s="8" t="s">
        <v>38</v>
      </c>
      <c r="P149" s="17" t="str">
        <f aca="false">IF(N149="YES ✓",IF(O149="English OK","🟢 LAUNCH","🟡 LAUNCH+LOC"),IF(N149="TEST",IF(O149="English OK","🟡 TEST","🟠 TEST+LOC"),"🔴 SKIP"))</f>
        <v>🔴 SKIP</v>
      </c>
    </row>
    <row r="150" customFormat="false" ht="15" hidden="false" customHeight="false" outlineLevel="0" collapsed="false">
      <c r="A150" s="8" t="s">
        <v>15</v>
      </c>
      <c r="B150" s="8" t="s">
        <v>66</v>
      </c>
      <c r="C150" s="8" t="s">
        <v>87</v>
      </c>
      <c r="D150" s="12" t="n">
        <v>260</v>
      </c>
      <c r="E150" s="8" t="s">
        <v>37</v>
      </c>
      <c r="F150" s="13" t="n">
        <v>0.92</v>
      </c>
      <c r="G150" s="13" t="n">
        <v>4.75</v>
      </c>
      <c r="H150" s="14" t="n">
        <f aca="false">(F150+G150)/2</f>
        <v>2.835</v>
      </c>
      <c r="I150" s="15" t="n">
        <f aca="false">ROUND(Assumptions!$B$4/H150,0)</f>
        <v>176</v>
      </c>
      <c r="J150" s="16" t="n">
        <f aca="false">ROUND(I150*Assumptions!$B$7,2)</f>
        <v>4.37</v>
      </c>
      <c r="K150" s="10" t="n">
        <f aca="false">IF(J150&gt;0,ROUND(Assumptions!$B$4/J150,0),9999)</f>
        <v>114</v>
      </c>
      <c r="L150" s="9" t="n">
        <v>158</v>
      </c>
      <c r="M150" s="10" t="n">
        <f aca="false">L150*Assumptions!$B$9</f>
        <v>71.1</v>
      </c>
      <c r="N150" s="17" t="str">
        <f aca="false">IF(K150&lt;=Assumptions!$B$8,"YES ✓",IF(K150&lt;=M150,"TEST","NO ✗"))</f>
        <v>NO ✗</v>
      </c>
      <c r="O150" s="8" t="s">
        <v>38</v>
      </c>
      <c r="P150" s="17" t="str">
        <f aca="false">IF(N150="YES ✓",IF(O150="English OK","🟢 LAUNCH","🟡 LAUNCH+LOC"),IF(N150="TEST",IF(O150="English OK","🟡 TEST","🟠 TEST+LOC"),"🔴 SKIP"))</f>
        <v>🔴 SKIP</v>
      </c>
    </row>
    <row r="151" customFormat="false" ht="15" hidden="false" customHeight="false" outlineLevel="0" collapsed="false">
      <c r="A151" s="8" t="s">
        <v>16</v>
      </c>
      <c r="B151" s="8" t="s">
        <v>35</v>
      </c>
      <c r="C151" s="8" t="s">
        <v>90</v>
      </c>
      <c r="D151" s="12" t="n">
        <v>30</v>
      </c>
      <c r="E151" s="8" t="s">
        <v>37</v>
      </c>
      <c r="F151" s="13" t="n">
        <v>0.1</v>
      </c>
      <c r="G151" s="13" t="n">
        <v>0.75</v>
      </c>
      <c r="H151" s="14" t="n">
        <f aca="false">(F151+G151)/2</f>
        <v>0.425</v>
      </c>
      <c r="I151" s="15" t="n">
        <f aca="false">ROUND(Assumptions!$B$4/H151,0)</f>
        <v>1176</v>
      </c>
      <c r="J151" s="16" t="n">
        <f aca="false">ROUND(I151*Assumptions!$B$7,2)</f>
        <v>29.22</v>
      </c>
      <c r="K151" s="10" t="n">
        <f aca="false">IF(J151&gt;0,ROUND(Assumptions!$B$4/J151,0),9999)</f>
        <v>17</v>
      </c>
      <c r="L151" s="9" t="n">
        <v>120</v>
      </c>
      <c r="M151" s="10" t="n">
        <f aca="false">L151*Assumptions!$B$9</f>
        <v>54</v>
      </c>
      <c r="N151" s="17" t="str">
        <f aca="false">IF(K151&lt;=Assumptions!$B$8,"YES ✓",IF(K151&lt;=M151,"TEST","NO ✗"))</f>
        <v>YES ✓</v>
      </c>
      <c r="O151" s="8" t="s">
        <v>38</v>
      </c>
      <c r="P151" s="17" t="str">
        <f aca="false">IF(N151="YES ✓",IF(O151="English OK","🟢 LAUNCH","🟡 LAUNCH+LOC"),IF(N151="TEST",IF(O151="English OK","🟡 TEST","🟠 TEST+LOC"),"🔴 SKIP"))</f>
        <v>🟢 LAUNCH</v>
      </c>
    </row>
    <row r="152" customFormat="false" ht="15" hidden="false" customHeight="false" outlineLevel="0" collapsed="false">
      <c r="A152" s="8" t="s">
        <v>16</v>
      </c>
      <c r="B152" s="8" t="s">
        <v>45</v>
      </c>
      <c r="C152" s="8" t="s">
        <v>90</v>
      </c>
      <c r="D152" s="12" t="n">
        <v>50</v>
      </c>
      <c r="E152" s="8" t="s">
        <v>37</v>
      </c>
      <c r="F152" s="13" t="n">
        <v>0.12</v>
      </c>
      <c r="G152" s="13" t="n">
        <v>0.78</v>
      </c>
      <c r="H152" s="14" t="n">
        <f aca="false">(F152+G152)/2</f>
        <v>0.45</v>
      </c>
      <c r="I152" s="15" t="n">
        <f aca="false">ROUND(Assumptions!$B$4/H152,0)</f>
        <v>1111</v>
      </c>
      <c r="J152" s="16" t="n">
        <f aca="false">ROUND(I152*Assumptions!$B$7,2)</f>
        <v>27.61</v>
      </c>
      <c r="K152" s="10" t="n">
        <f aca="false">IF(J152&gt;0,ROUND(Assumptions!$B$4/J152,0),9999)</f>
        <v>18</v>
      </c>
      <c r="L152" s="9" t="n">
        <v>120</v>
      </c>
      <c r="M152" s="10" t="n">
        <f aca="false">L152*Assumptions!$B$9</f>
        <v>54</v>
      </c>
      <c r="N152" s="17" t="str">
        <f aca="false">IF(K152&lt;=Assumptions!$B$8,"YES ✓",IF(K152&lt;=M152,"TEST","NO ✗"))</f>
        <v>YES ✓</v>
      </c>
      <c r="O152" s="8" t="s">
        <v>38</v>
      </c>
      <c r="P152" s="17" t="str">
        <f aca="false">IF(N152="YES ✓",IF(O152="English OK","🟢 LAUNCH","🟡 LAUNCH+LOC"),IF(N152="TEST",IF(O152="English OK","🟡 TEST","🟠 TEST+LOC"),"🔴 SKIP"))</f>
        <v>🟢 LAUNCH</v>
      </c>
    </row>
    <row r="153" customFormat="false" ht="15" hidden="false" customHeight="false" outlineLevel="0" collapsed="false">
      <c r="A153" s="8" t="s">
        <v>16</v>
      </c>
      <c r="B153" s="8" t="s">
        <v>47</v>
      </c>
      <c r="C153" s="8" t="s">
        <v>91</v>
      </c>
      <c r="D153" s="12" t="n">
        <v>30</v>
      </c>
      <c r="E153" s="8" t="s">
        <v>92</v>
      </c>
      <c r="F153" s="13" t="n">
        <v>0.15</v>
      </c>
      <c r="G153" s="13" t="n">
        <v>0.85</v>
      </c>
      <c r="H153" s="14" t="n">
        <f aca="false">(F153+G153)/2</f>
        <v>0.5</v>
      </c>
      <c r="I153" s="15" t="n">
        <f aca="false">ROUND(Assumptions!$B$4/H153,0)</f>
        <v>1000</v>
      </c>
      <c r="J153" s="16" t="n">
        <f aca="false">ROUND(I153*Assumptions!$B$7,2)</f>
        <v>24.85</v>
      </c>
      <c r="K153" s="10" t="n">
        <f aca="false">IF(J153&gt;0,ROUND(Assumptions!$B$4/J153,0),9999)</f>
        <v>20</v>
      </c>
      <c r="L153" s="9" t="n">
        <v>120</v>
      </c>
      <c r="M153" s="10" t="n">
        <f aca="false">L153*Assumptions!$B$9</f>
        <v>54</v>
      </c>
      <c r="N153" s="17" t="str">
        <f aca="false">IF(K153&lt;=Assumptions!$B$8,"YES ✓",IF(K153&lt;=M153,"TEST","NO ✗"))</f>
        <v>YES ✓</v>
      </c>
      <c r="O153" s="8" t="s">
        <v>49</v>
      </c>
      <c r="P153" s="17" t="str">
        <f aca="false">IF(N153="YES ✓",IF(O153="English OK","🟢 LAUNCH","🟡 LAUNCH+LOC"),IF(N153="TEST",IF(O153="English OK","🟡 TEST","🟠 TEST+LOC"),"🔴 SKIP"))</f>
        <v>🟡 LAUNCH+LOC</v>
      </c>
    </row>
    <row r="154" customFormat="false" ht="15" hidden="false" customHeight="false" outlineLevel="0" collapsed="false">
      <c r="A154" s="8" t="s">
        <v>16</v>
      </c>
      <c r="B154" s="8" t="s">
        <v>53</v>
      </c>
      <c r="C154" s="8" t="s">
        <v>90</v>
      </c>
      <c r="D154" s="12" t="n">
        <v>50</v>
      </c>
      <c r="E154" s="8" t="s">
        <v>37</v>
      </c>
      <c r="F154" s="13" t="n">
        <v>0.3</v>
      </c>
      <c r="G154" s="13" t="n">
        <v>1.9</v>
      </c>
      <c r="H154" s="14" t="n">
        <f aca="false">(F154+G154)/2</f>
        <v>1.1</v>
      </c>
      <c r="I154" s="15" t="n">
        <f aca="false">ROUND(Assumptions!$B$4/H154,0)</f>
        <v>455</v>
      </c>
      <c r="J154" s="16" t="n">
        <f aca="false">ROUND(I154*Assumptions!$B$7,2)</f>
        <v>11.31</v>
      </c>
      <c r="K154" s="10" t="n">
        <f aca="false">IF(J154&gt;0,ROUND(Assumptions!$B$4/J154,0),9999)</f>
        <v>44</v>
      </c>
      <c r="L154" s="9" t="n">
        <v>120</v>
      </c>
      <c r="M154" s="10" t="n">
        <f aca="false">L154*Assumptions!$B$9</f>
        <v>54</v>
      </c>
      <c r="N154" s="17" t="str">
        <f aca="false">IF(K154&lt;=Assumptions!$B$8,"YES ✓",IF(K154&lt;=M154,"TEST","NO ✗"))</f>
        <v>YES ✓</v>
      </c>
      <c r="O154" s="8" t="s">
        <v>38</v>
      </c>
      <c r="P154" s="17" t="str">
        <f aca="false">IF(N154="YES ✓",IF(O154="English OK","🟢 LAUNCH","🟡 LAUNCH+LOC"),IF(N154="TEST",IF(O154="English OK","🟡 TEST","🟠 TEST+LOC"),"🔴 SKIP"))</f>
        <v>🟢 LAUNCH</v>
      </c>
    </row>
    <row r="155" customFormat="false" ht="15" hidden="false" customHeight="false" outlineLevel="0" collapsed="false">
      <c r="A155" s="8" t="s">
        <v>16</v>
      </c>
      <c r="B155" s="8" t="s">
        <v>54</v>
      </c>
      <c r="C155" s="8" t="s">
        <v>90</v>
      </c>
      <c r="D155" s="12" t="n">
        <v>20</v>
      </c>
      <c r="E155" s="8" t="s">
        <v>37</v>
      </c>
      <c r="F155" s="13" t="n">
        <v>0.38</v>
      </c>
      <c r="G155" s="13" t="n">
        <v>2.15</v>
      </c>
      <c r="H155" s="14" t="n">
        <f aca="false">(F155+G155)/2</f>
        <v>1.265</v>
      </c>
      <c r="I155" s="15" t="n">
        <f aca="false">ROUND(Assumptions!$B$4/H155,0)</f>
        <v>395</v>
      </c>
      <c r="J155" s="16" t="n">
        <f aca="false">ROUND(I155*Assumptions!$B$7,2)</f>
        <v>9.82</v>
      </c>
      <c r="K155" s="10" t="n">
        <f aca="false">IF(J155&gt;0,ROUND(Assumptions!$B$4/J155,0),9999)</f>
        <v>51</v>
      </c>
      <c r="L155" s="9" t="n">
        <v>120</v>
      </c>
      <c r="M155" s="10" t="n">
        <f aca="false">L155*Assumptions!$B$9</f>
        <v>54</v>
      </c>
      <c r="N155" s="17" t="str">
        <f aca="false">IF(K155&lt;=Assumptions!$B$8,"YES ✓",IF(K155&lt;=M155,"TEST","NO ✗"))</f>
        <v>TEST</v>
      </c>
      <c r="O155" s="8" t="s">
        <v>38</v>
      </c>
      <c r="P155" s="17" t="str">
        <f aca="false">IF(N155="YES ✓",IF(O155="English OK","🟢 LAUNCH","🟡 LAUNCH+LOC"),IF(N155="TEST",IF(O155="English OK","🟡 TEST","🟠 TEST+LOC"),"🔴 SKIP"))</f>
        <v>🟡 TEST</v>
      </c>
    </row>
    <row r="156" customFormat="false" ht="15" hidden="false" customHeight="false" outlineLevel="0" collapsed="false">
      <c r="A156" s="8" t="s">
        <v>16</v>
      </c>
      <c r="B156" s="8" t="s">
        <v>56</v>
      </c>
      <c r="C156" s="8" t="s">
        <v>90</v>
      </c>
      <c r="D156" s="12" t="n">
        <v>10</v>
      </c>
      <c r="E156" s="8" t="s">
        <v>37</v>
      </c>
      <c r="F156" s="13" t="n">
        <v>0.22</v>
      </c>
      <c r="G156" s="13" t="n">
        <v>1.75</v>
      </c>
      <c r="H156" s="14" t="n">
        <f aca="false">(F156+G156)/2</f>
        <v>0.985</v>
      </c>
      <c r="I156" s="15" t="n">
        <f aca="false">ROUND(Assumptions!$B$4/H156,0)</f>
        <v>508</v>
      </c>
      <c r="J156" s="16" t="n">
        <f aca="false">ROUND(I156*Assumptions!$B$7,2)</f>
        <v>12.62</v>
      </c>
      <c r="K156" s="10" t="n">
        <f aca="false">IF(J156&gt;0,ROUND(Assumptions!$B$4/J156,0),9999)</f>
        <v>40</v>
      </c>
      <c r="L156" s="9" t="n">
        <v>120</v>
      </c>
      <c r="M156" s="10" t="n">
        <f aca="false">L156*Assumptions!$B$9</f>
        <v>54</v>
      </c>
      <c r="N156" s="17" t="str">
        <f aca="false">IF(K156&lt;=Assumptions!$B$8,"YES ✓",IF(K156&lt;=M156,"TEST","NO ✗"))</f>
        <v>YES ✓</v>
      </c>
      <c r="O156" s="8" t="s">
        <v>49</v>
      </c>
      <c r="P156" s="17" t="str">
        <f aca="false">IF(N156="YES ✓",IF(O156="English OK","🟢 LAUNCH","🟡 LAUNCH+LOC"),IF(N156="TEST",IF(O156="English OK","🟡 TEST","🟠 TEST+LOC"),"🔴 SKIP"))</f>
        <v>🟡 LAUNCH+LOC</v>
      </c>
    </row>
    <row r="157" customFormat="false" ht="15" hidden="false" customHeight="false" outlineLevel="0" collapsed="false">
      <c r="A157" s="8" t="s">
        <v>16</v>
      </c>
      <c r="B157" s="8" t="s">
        <v>59</v>
      </c>
      <c r="C157" s="8" t="s">
        <v>90</v>
      </c>
      <c r="D157" s="12" t="n">
        <v>110</v>
      </c>
      <c r="E157" s="8" t="s">
        <v>37</v>
      </c>
      <c r="F157" s="13" t="n">
        <v>0.28</v>
      </c>
      <c r="G157" s="13" t="n">
        <v>2.45</v>
      </c>
      <c r="H157" s="14" t="n">
        <f aca="false">(F157+G157)/2</f>
        <v>1.365</v>
      </c>
      <c r="I157" s="15" t="n">
        <f aca="false">ROUND(Assumptions!$B$4/H157,0)</f>
        <v>366</v>
      </c>
      <c r="J157" s="16" t="n">
        <f aca="false">ROUND(I157*Assumptions!$B$7,2)</f>
        <v>9.1</v>
      </c>
      <c r="K157" s="10" t="n">
        <f aca="false">IF(J157&gt;0,ROUND(Assumptions!$B$4/J157,0),9999)</f>
        <v>55</v>
      </c>
      <c r="L157" s="9" t="n">
        <v>120</v>
      </c>
      <c r="M157" s="10" t="n">
        <f aca="false">L157*Assumptions!$B$9</f>
        <v>54</v>
      </c>
      <c r="N157" s="17" t="str">
        <f aca="false">IF(K157&lt;=Assumptions!$B$8,"YES ✓",IF(K157&lt;=M157,"TEST","NO ✗"))</f>
        <v>NO ✗</v>
      </c>
      <c r="O157" s="8" t="s">
        <v>38</v>
      </c>
      <c r="P157" s="17" t="str">
        <f aca="false">IF(N157="YES ✓",IF(O157="English OK","🟢 LAUNCH","🟡 LAUNCH+LOC"),IF(N157="TEST",IF(O157="English OK","🟡 TEST","🟠 TEST+LOC"),"🔴 SKIP"))</f>
        <v>🔴 SKIP</v>
      </c>
    </row>
    <row r="158" customFormat="false" ht="15" hidden="false" customHeight="false" outlineLevel="0" collapsed="false">
      <c r="A158" s="8" t="s">
        <v>16</v>
      </c>
      <c r="B158" s="8" t="s">
        <v>60</v>
      </c>
      <c r="C158" s="8" t="s">
        <v>90</v>
      </c>
      <c r="D158" s="12" t="n">
        <v>50</v>
      </c>
      <c r="E158" s="8" t="s">
        <v>37</v>
      </c>
      <c r="F158" s="13" t="n">
        <v>0.28</v>
      </c>
      <c r="G158" s="13" t="n">
        <v>2.35</v>
      </c>
      <c r="H158" s="14" t="n">
        <f aca="false">(F158+G158)/2</f>
        <v>1.315</v>
      </c>
      <c r="I158" s="15" t="n">
        <f aca="false">ROUND(Assumptions!$B$4/H158,0)</f>
        <v>380</v>
      </c>
      <c r="J158" s="16" t="n">
        <f aca="false">ROUND(I158*Assumptions!$B$7,2)</f>
        <v>9.44</v>
      </c>
      <c r="K158" s="10" t="n">
        <f aca="false">IF(J158&gt;0,ROUND(Assumptions!$B$4/J158,0),9999)</f>
        <v>53</v>
      </c>
      <c r="L158" s="9" t="n">
        <v>120</v>
      </c>
      <c r="M158" s="10" t="n">
        <f aca="false">L158*Assumptions!$B$9</f>
        <v>54</v>
      </c>
      <c r="N158" s="17" t="str">
        <f aca="false">IF(K158&lt;=Assumptions!$B$8,"YES ✓",IF(K158&lt;=M158,"TEST","NO ✗"))</f>
        <v>TEST</v>
      </c>
      <c r="O158" s="8" t="s">
        <v>49</v>
      </c>
      <c r="P158" s="17" t="str">
        <f aca="false">IF(N158="YES ✓",IF(O158="English OK","🟢 LAUNCH","🟡 LAUNCH+LOC"),IF(N158="TEST",IF(O158="English OK","🟡 TEST","🟠 TEST+LOC"),"🔴 SKIP"))</f>
        <v>🟠 TEST+LOC</v>
      </c>
    </row>
    <row r="159" customFormat="false" ht="15" hidden="false" customHeight="false" outlineLevel="0" collapsed="false">
      <c r="A159" s="8" t="s">
        <v>16</v>
      </c>
      <c r="B159" s="8" t="s">
        <v>62</v>
      </c>
      <c r="C159" s="8" t="s">
        <v>90</v>
      </c>
      <c r="D159" s="12" t="n">
        <v>140</v>
      </c>
      <c r="E159" s="8" t="s">
        <v>37</v>
      </c>
      <c r="F159" s="13" t="n">
        <v>0.55</v>
      </c>
      <c r="G159" s="13" t="n">
        <v>3.85</v>
      </c>
      <c r="H159" s="14" t="n">
        <f aca="false">(F159+G159)/2</f>
        <v>2.2</v>
      </c>
      <c r="I159" s="15" t="n">
        <f aca="false">ROUND(Assumptions!$B$4/H159,0)</f>
        <v>227</v>
      </c>
      <c r="J159" s="16" t="n">
        <f aca="false">ROUND(I159*Assumptions!$B$7,2)</f>
        <v>5.64</v>
      </c>
      <c r="K159" s="10" t="n">
        <f aca="false">IF(J159&gt;0,ROUND(Assumptions!$B$4/J159,0),9999)</f>
        <v>89</v>
      </c>
      <c r="L159" s="9" t="n">
        <v>120</v>
      </c>
      <c r="M159" s="10" t="n">
        <f aca="false">L159*Assumptions!$B$9</f>
        <v>54</v>
      </c>
      <c r="N159" s="17" t="str">
        <f aca="false">IF(K159&lt;=Assumptions!$B$8,"YES ✓",IF(K159&lt;=M159,"TEST","NO ✗"))</f>
        <v>NO ✗</v>
      </c>
      <c r="O159" s="8" t="s">
        <v>38</v>
      </c>
      <c r="P159" s="17" t="str">
        <f aca="false">IF(N159="YES ✓",IF(O159="English OK","🟢 LAUNCH","🟡 LAUNCH+LOC"),IF(N159="TEST",IF(O159="English OK","🟡 TEST","🟠 TEST+LOC"),"🔴 SKIP"))</f>
        <v>🔴 SKIP</v>
      </c>
    </row>
    <row r="160" customFormat="false" ht="15" hidden="false" customHeight="false" outlineLevel="0" collapsed="false">
      <c r="A160" s="8" t="s">
        <v>16</v>
      </c>
      <c r="B160" s="8" t="s">
        <v>64</v>
      </c>
      <c r="C160" s="8" t="s">
        <v>90</v>
      </c>
      <c r="D160" s="12" t="n">
        <v>480</v>
      </c>
      <c r="E160" s="8" t="s">
        <v>37</v>
      </c>
      <c r="F160" s="13" t="n">
        <v>0.48</v>
      </c>
      <c r="G160" s="13" t="n">
        <v>3.75</v>
      </c>
      <c r="H160" s="14" t="n">
        <f aca="false">(F160+G160)/2</f>
        <v>2.115</v>
      </c>
      <c r="I160" s="15" t="n">
        <f aca="false">ROUND(Assumptions!$B$4/H160,0)</f>
        <v>236</v>
      </c>
      <c r="J160" s="16" t="n">
        <f aca="false">ROUND(I160*Assumptions!$B$7,2)</f>
        <v>5.86</v>
      </c>
      <c r="K160" s="10" t="n">
        <f aca="false">IF(J160&gt;0,ROUND(Assumptions!$B$4/J160,0),9999)</f>
        <v>85</v>
      </c>
      <c r="L160" s="9" t="n">
        <v>120</v>
      </c>
      <c r="M160" s="10" t="n">
        <f aca="false">L160*Assumptions!$B$9</f>
        <v>54</v>
      </c>
      <c r="N160" s="17" t="str">
        <f aca="false">IF(K160&lt;=Assumptions!$B$8,"YES ✓",IF(K160&lt;=M160,"TEST","NO ✗"))</f>
        <v>NO ✗</v>
      </c>
      <c r="O160" s="8" t="s">
        <v>38</v>
      </c>
      <c r="P160" s="17" t="str">
        <f aca="false">IF(N160="YES ✓",IF(O160="English OK","🟢 LAUNCH","🟡 LAUNCH+LOC"),IF(N160="TEST",IF(O160="English OK","🟡 TEST","🟠 TEST+LOC"),"🔴 SKIP"))</f>
        <v>🔴 SKIP</v>
      </c>
    </row>
    <row r="161" customFormat="false" ht="15" hidden="false" customHeight="false" outlineLevel="0" collapsed="false">
      <c r="A161" s="8" t="s">
        <v>16</v>
      </c>
      <c r="B161" s="8" t="s">
        <v>65</v>
      </c>
      <c r="C161" s="8" t="s">
        <v>90</v>
      </c>
      <c r="D161" s="12" t="n">
        <v>1900</v>
      </c>
      <c r="E161" s="8" t="s">
        <v>37</v>
      </c>
      <c r="F161" s="13" t="n">
        <v>0.88</v>
      </c>
      <c r="G161" s="13" t="n">
        <v>5.25</v>
      </c>
      <c r="H161" s="14" t="n">
        <f aca="false">(F161+G161)/2</f>
        <v>3.065</v>
      </c>
      <c r="I161" s="15" t="n">
        <f aca="false">ROUND(Assumptions!$B$4/H161,0)</f>
        <v>163</v>
      </c>
      <c r="J161" s="16" t="n">
        <f aca="false">ROUND(I161*Assumptions!$B$7,2)</f>
        <v>4.05</v>
      </c>
      <c r="K161" s="10" t="n">
        <f aca="false">IF(J161&gt;0,ROUND(Assumptions!$B$4/J161,0),9999)</f>
        <v>123</v>
      </c>
      <c r="L161" s="9" t="n">
        <v>120</v>
      </c>
      <c r="M161" s="10" t="n">
        <f aca="false">L161*Assumptions!$B$9</f>
        <v>54</v>
      </c>
      <c r="N161" s="17" t="str">
        <f aca="false">IF(K161&lt;=Assumptions!$B$8,"YES ✓",IF(K161&lt;=M161,"TEST","NO ✗"))</f>
        <v>NO ✗</v>
      </c>
      <c r="O161" s="8" t="s">
        <v>38</v>
      </c>
      <c r="P161" s="17" t="str">
        <f aca="false">IF(N161="YES ✓",IF(O161="English OK","🟢 LAUNCH","🟡 LAUNCH+LOC"),IF(N161="TEST",IF(O161="English OK","🟡 TEST","🟠 TEST+LOC"),"🔴 SKIP"))</f>
        <v>🔴 SKIP</v>
      </c>
    </row>
    <row r="162" customFormat="false" ht="15" hidden="false" customHeight="false" outlineLevel="0" collapsed="false">
      <c r="A162" s="8" t="s">
        <v>16</v>
      </c>
      <c r="B162" s="8" t="s">
        <v>66</v>
      </c>
      <c r="C162" s="8" t="s">
        <v>90</v>
      </c>
      <c r="D162" s="12" t="n">
        <v>590</v>
      </c>
      <c r="E162" s="8" t="s">
        <v>37</v>
      </c>
      <c r="F162" s="13" t="n">
        <v>1.05</v>
      </c>
      <c r="G162" s="13" t="n">
        <v>5.15</v>
      </c>
      <c r="H162" s="14" t="n">
        <f aca="false">(F162+G162)/2</f>
        <v>3.1</v>
      </c>
      <c r="I162" s="15" t="n">
        <f aca="false">ROUND(Assumptions!$B$4/H162,0)</f>
        <v>161</v>
      </c>
      <c r="J162" s="16" t="n">
        <f aca="false">ROUND(I162*Assumptions!$B$7,2)</f>
        <v>4</v>
      </c>
      <c r="K162" s="10" t="n">
        <f aca="false">IF(J162&gt;0,ROUND(Assumptions!$B$4/J162,0),9999)</f>
        <v>125</v>
      </c>
      <c r="L162" s="9" t="n">
        <v>120</v>
      </c>
      <c r="M162" s="10" t="n">
        <f aca="false">L162*Assumptions!$B$9</f>
        <v>54</v>
      </c>
      <c r="N162" s="17" t="str">
        <f aca="false">IF(K162&lt;=Assumptions!$B$8,"YES ✓",IF(K162&lt;=M162,"TEST","NO ✗"))</f>
        <v>NO ✗</v>
      </c>
      <c r="O162" s="8" t="s">
        <v>38</v>
      </c>
      <c r="P162" s="17" t="str">
        <f aca="false">IF(N162="YES ✓",IF(O162="English OK","🟢 LAUNCH","🟡 LAUNCH+LOC"),IF(N162="TEST",IF(O162="English OK","🟡 TEST","🟠 TEST+LOC"),"🔴 SKIP"))</f>
        <v>🔴 SKIP</v>
      </c>
    </row>
    <row r="163" customFormat="false" ht="15" hidden="false" customHeight="false" outlineLevel="0" collapsed="false">
      <c r="A163" s="8" t="s">
        <v>17</v>
      </c>
      <c r="B163" s="8" t="s">
        <v>35</v>
      </c>
      <c r="C163" s="8" t="s">
        <v>93</v>
      </c>
      <c r="D163" s="12" t="n">
        <v>480</v>
      </c>
      <c r="E163" s="8" t="s">
        <v>37</v>
      </c>
      <c r="F163" s="13" t="n">
        <v>0.08</v>
      </c>
      <c r="G163" s="13" t="n">
        <v>0.55</v>
      </c>
      <c r="H163" s="14" t="n">
        <f aca="false">(F163+G163)/2</f>
        <v>0.315</v>
      </c>
      <c r="I163" s="15" t="n">
        <f aca="false">ROUND(Assumptions!$B$4/H163,0)</f>
        <v>1587</v>
      </c>
      <c r="J163" s="16" t="n">
        <f aca="false">ROUND(I163*Assumptions!$B$7,2)</f>
        <v>39.44</v>
      </c>
      <c r="K163" s="10" t="n">
        <f aca="false">IF(J163&gt;0,ROUND(Assumptions!$B$4/J163,0),9999)</f>
        <v>13</v>
      </c>
      <c r="L163" s="9" t="n">
        <v>128</v>
      </c>
      <c r="M163" s="10" t="n">
        <f aca="false">L163*Assumptions!$B$9</f>
        <v>57.6</v>
      </c>
      <c r="N163" s="17" t="str">
        <f aca="false">IF(K163&lt;=Assumptions!$B$8,"YES ✓",IF(K163&lt;=M163,"TEST","NO ✗"))</f>
        <v>YES ✓</v>
      </c>
      <c r="O163" s="8" t="s">
        <v>38</v>
      </c>
      <c r="P163" s="17" t="str">
        <f aca="false">IF(N163="YES ✓",IF(O163="English OK","🟢 LAUNCH","🟡 LAUNCH+LOC"),IF(N163="TEST",IF(O163="English OK","🟡 TEST","🟠 TEST+LOC"),"🔴 SKIP"))</f>
        <v>🟢 LAUNCH</v>
      </c>
    </row>
    <row r="164" customFormat="false" ht="15" hidden="false" customHeight="false" outlineLevel="0" collapsed="false">
      <c r="A164" s="8" t="s">
        <v>17</v>
      </c>
      <c r="B164" s="8" t="s">
        <v>35</v>
      </c>
      <c r="C164" s="8" t="s">
        <v>94</v>
      </c>
      <c r="D164" s="12" t="n">
        <v>90</v>
      </c>
      <c r="E164" s="8" t="s">
        <v>37</v>
      </c>
      <c r="F164" s="13" t="n">
        <v>0.07</v>
      </c>
      <c r="G164" s="13" t="n">
        <v>0.48</v>
      </c>
      <c r="H164" s="14" t="n">
        <f aca="false">(F164+G164)/2</f>
        <v>0.275</v>
      </c>
      <c r="I164" s="15" t="n">
        <f aca="false">ROUND(Assumptions!$B$4/H164,0)</f>
        <v>1818</v>
      </c>
      <c r="J164" s="16" t="n">
        <f aca="false">ROUND(I164*Assumptions!$B$7,2)</f>
        <v>45.18</v>
      </c>
      <c r="K164" s="10" t="n">
        <f aca="false">IF(J164&gt;0,ROUND(Assumptions!$B$4/J164,0),9999)</f>
        <v>11</v>
      </c>
      <c r="L164" s="9" t="n">
        <v>128</v>
      </c>
      <c r="M164" s="10" t="n">
        <f aca="false">L164*Assumptions!$B$9</f>
        <v>57.6</v>
      </c>
      <c r="N164" s="17" t="str">
        <f aca="false">IF(K164&lt;=Assumptions!$B$8,"YES ✓",IF(K164&lt;=M164,"TEST","NO ✗"))</f>
        <v>YES ✓</v>
      </c>
      <c r="O164" s="8" t="s">
        <v>38</v>
      </c>
      <c r="P164" s="17" t="str">
        <f aca="false">IF(N164="YES ✓",IF(O164="English OK","🟢 LAUNCH","🟡 LAUNCH+LOC"),IF(N164="TEST",IF(O164="English OK","🟡 TEST","🟠 TEST+LOC"),"🔴 SKIP"))</f>
        <v>🟢 LAUNCH</v>
      </c>
    </row>
    <row r="165" customFormat="false" ht="15" hidden="false" customHeight="false" outlineLevel="0" collapsed="false">
      <c r="A165" s="8" t="s">
        <v>17</v>
      </c>
      <c r="B165" s="8" t="s">
        <v>45</v>
      </c>
      <c r="C165" s="8" t="s">
        <v>93</v>
      </c>
      <c r="D165" s="12" t="n">
        <v>390</v>
      </c>
      <c r="E165" s="8" t="s">
        <v>37</v>
      </c>
      <c r="F165" s="13" t="n">
        <v>0.12</v>
      </c>
      <c r="G165" s="13" t="n">
        <v>0.72</v>
      </c>
      <c r="H165" s="14" t="n">
        <f aca="false">(F165+G165)/2</f>
        <v>0.42</v>
      </c>
      <c r="I165" s="15" t="n">
        <f aca="false">ROUND(Assumptions!$B$4/H165,0)</f>
        <v>1190</v>
      </c>
      <c r="J165" s="16" t="n">
        <f aca="false">ROUND(I165*Assumptions!$B$7,2)</f>
        <v>29.57</v>
      </c>
      <c r="K165" s="10" t="n">
        <f aca="false">IF(J165&gt;0,ROUND(Assumptions!$B$4/J165,0),9999)</f>
        <v>17</v>
      </c>
      <c r="L165" s="9" t="n">
        <v>128</v>
      </c>
      <c r="M165" s="10" t="n">
        <f aca="false">L165*Assumptions!$B$9</f>
        <v>57.6</v>
      </c>
      <c r="N165" s="17" t="str">
        <f aca="false">IF(K165&lt;=Assumptions!$B$8,"YES ✓",IF(K165&lt;=M165,"TEST","NO ✗"))</f>
        <v>YES ✓</v>
      </c>
      <c r="O165" s="8" t="s">
        <v>38</v>
      </c>
      <c r="P165" s="17" t="str">
        <f aca="false">IF(N165="YES ✓",IF(O165="English OK","🟢 LAUNCH","🟡 LAUNCH+LOC"),IF(N165="TEST",IF(O165="English OK","🟡 TEST","🟠 TEST+LOC"),"🔴 SKIP"))</f>
        <v>🟢 LAUNCH</v>
      </c>
    </row>
    <row r="166" customFormat="false" ht="15" hidden="false" customHeight="false" outlineLevel="0" collapsed="false">
      <c r="A166" s="8" t="s">
        <v>17</v>
      </c>
      <c r="B166" s="8" t="s">
        <v>45</v>
      </c>
      <c r="C166" s="8" t="s">
        <v>94</v>
      </c>
      <c r="D166" s="12" t="n">
        <v>70</v>
      </c>
      <c r="E166" s="8" t="s">
        <v>37</v>
      </c>
      <c r="F166" s="13" t="n">
        <v>0.1</v>
      </c>
      <c r="G166" s="13" t="n">
        <v>0.62</v>
      </c>
      <c r="H166" s="14" t="n">
        <f aca="false">(F166+G166)/2</f>
        <v>0.36</v>
      </c>
      <c r="I166" s="15" t="n">
        <f aca="false">ROUND(Assumptions!$B$4/H166,0)</f>
        <v>1389</v>
      </c>
      <c r="J166" s="16" t="n">
        <f aca="false">ROUND(I166*Assumptions!$B$7,2)</f>
        <v>34.52</v>
      </c>
      <c r="K166" s="10" t="n">
        <f aca="false">IF(J166&gt;0,ROUND(Assumptions!$B$4/J166,0),9999)</f>
        <v>14</v>
      </c>
      <c r="L166" s="9" t="n">
        <v>128</v>
      </c>
      <c r="M166" s="10" t="n">
        <f aca="false">L166*Assumptions!$B$9</f>
        <v>57.6</v>
      </c>
      <c r="N166" s="17" t="str">
        <f aca="false">IF(K166&lt;=Assumptions!$B$8,"YES ✓",IF(K166&lt;=M166,"TEST","NO ✗"))</f>
        <v>YES ✓</v>
      </c>
      <c r="O166" s="8" t="s">
        <v>38</v>
      </c>
      <c r="P166" s="17" t="str">
        <f aca="false">IF(N166="YES ✓",IF(O166="English OK","🟢 LAUNCH","🟡 LAUNCH+LOC"),IF(N166="TEST",IF(O166="English OK","🟡 TEST","🟠 TEST+LOC"),"🔴 SKIP"))</f>
        <v>🟢 LAUNCH</v>
      </c>
    </row>
    <row r="167" customFormat="false" ht="15" hidden="false" customHeight="false" outlineLevel="0" collapsed="false">
      <c r="A167" s="8" t="s">
        <v>17</v>
      </c>
      <c r="B167" s="8" t="s">
        <v>47</v>
      </c>
      <c r="C167" s="8" t="s">
        <v>93</v>
      </c>
      <c r="D167" s="12" t="n">
        <v>320</v>
      </c>
      <c r="E167" s="8" t="s">
        <v>37</v>
      </c>
      <c r="F167" s="13" t="n">
        <v>0.15</v>
      </c>
      <c r="G167" s="13" t="n">
        <v>1.1</v>
      </c>
      <c r="H167" s="14" t="n">
        <f aca="false">(F167+G167)/2</f>
        <v>0.625</v>
      </c>
      <c r="I167" s="15" t="n">
        <f aca="false">ROUND(Assumptions!$B$4/H167,0)</f>
        <v>800</v>
      </c>
      <c r="J167" s="16" t="n">
        <f aca="false">ROUND(I167*Assumptions!$B$7,2)</f>
        <v>19.88</v>
      </c>
      <c r="K167" s="10" t="n">
        <f aca="false">IF(J167&gt;0,ROUND(Assumptions!$B$4/J167,0),9999)</f>
        <v>25</v>
      </c>
      <c r="L167" s="9" t="n">
        <v>128</v>
      </c>
      <c r="M167" s="10" t="n">
        <f aca="false">L167*Assumptions!$B$9</f>
        <v>57.6</v>
      </c>
      <c r="N167" s="17" t="str">
        <f aca="false">IF(K167&lt;=Assumptions!$B$8,"YES ✓",IF(K167&lt;=M167,"TEST","NO ✗"))</f>
        <v>YES ✓</v>
      </c>
      <c r="O167" s="8" t="s">
        <v>49</v>
      </c>
      <c r="P167" s="17" t="str">
        <f aca="false">IF(N167="YES ✓",IF(O167="English OK","🟢 LAUNCH","🟡 LAUNCH+LOC"),IF(N167="TEST",IF(O167="English OK","🟡 TEST","🟠 TEST+LOC"),"🔴 SKIP"))</f>
        <v>🟡 LAUNCH+LOC</v>
      </c>
    </row>
    <row r="168" customFormat="false" ht="15" hidden="false" customHeight="false" outlineLevel="0" collapsed="false">
      <c r="A168" s="8" t="s">
        <v>17</v>
      </c>
      <c r="B168" s="8" t="s">
        <v>53</v>
      </c>
      <c r="C168" s="8" t="s">
        <v>93</v>
      </c>
      <c r="D168" s="12" t="n">
        <v>260</v>
      </c>
      <c r="E168" s="8" t="s">
        <v>37</v>
      </c>
      <c r="F168" s="13" t="n">
        <v>0.25</v>
      </c>
      <c r="G168" s="13" t="n">
        <v>1.45</v>
      </c>
      <c r="H168" s="14" t="n">
        <f aca="false">(F168+G168)/2</f>
        <v>0.85</v>
      </c>
      <c r="I168" s="15" t="n">
        <f aca="false">ROUND(Assumptions!$B$4/H168,0)</f>
        <v>588</v>
      </c>
      <c r="J168" s="16" t="n">
        <f aca="false">ROUND(I168*Assumptions!$B$7,2)</f>
        <v>14.61</v>
      </c>
      <c r="K168" s="10" t="n">
        <f aca="false">IF(J168&gt;0,ROUND(Assumptions!$B$4/J168,0),9999)</f>
        <v>34</v>
      </c>
      <c r="L168" s="9" t="n">
        <v>128</v>
      </c>
      <c r="M168" s="10" t="n">
        <f aca="false">L168*Assumptions!$B$9</f>
        <v>57.6</v>
      </c>
      <c r="N168" s="17" t="str">
        <f aca="false">IF(K168&lt;=Assumptions!$B$8,"YES ✓",IF(K168&lt;=M168,"TEST","NO ✗"))</f>
        <v>YES ✓</v>
      </c>
      <c r="O168" s="8" t="s">
        <v>38</v>
      </c>
      <c r="P168" s="17" t="str">
        <f aca="false">IF(N168="YES ✓",IF(O168="English OK","🟢 LAUNCH","🟡 LAUNCH+LOC"),IF(N168="TEST",IF(O168="English OK","🟡 TEST","🟠 TEST+LOC"),"🔴 SKIP"))</f>
        <v>🟢 LAUNCH</v>
      </c>
    </row>
    <row r="169" customFormat="false" ht="15" hidden="false" customHeight="false" outlineLevel="0" collapsed="false">
      <c r="A169" s="8" t="s">
        <v>17</v>
      </c>
      <c r="B169" s="8" t="s">
        <v>54</v>
      </c>
      <c r="C169" s="8" t="s">
        <v>93</v>
      </c>
      <c r="D169" s="12" t="n">
        <v>170</v>
      </c>
      <c r="E169" s="8" t="s">
        <v>37</v>
      </c>
      <c r="F169" s="13" t="n">
        <v>0.32</v>
      </c>
      <c r="G169" s="13" t="n">
        <v>1.85</v>
      </c>
      <c r="H169" s="14" t="n">
        <f aca="false">(F169+G169)/2</f>
        <v>1.085</v>
      </c>
      <c r="I169" s="15" t="n">
        <f aca="false">ROUND(Assumptions!$B$4/H169,0)</f>
        <v>461</v>
      </c>
      <c r="J169" s="16" t="n">
        <f aca="false">ROUND(I169*Assumptions!$B$7,2)</f>
        <v>11.46</v>
      </c>
      <c r="K169" s="10" t="n">
        <f aca="false">IF(J169&gt;0,ROUND(Assumptions!$B$4/J169,0),9999)</f>
        <v>44</v>
      </c>
      <c r="L169" s="9" t="n">
        <v>128</v>
      </c>
      <c r="M169" s="10" t="n">
        <f aca="false">L169*Assumptions!$B$9</f>
        <v>57.6</v>
      </c>
      <c r="N169" s="17" t="str">
        <f aca="false">IF(K169&lt;=Assumptions!$B$8,"YES ✓",IF(K169&lt;=M169,"TEST","NO ✗"))</f>
        <v>YES ✓</v>
      </c>
      <c r="O169" s="8" t="s">
        <v>38</v>
      </c>
      <c r="P169" s="17" t="str">
        <f aca="false">IF(N169="YES ✓",IF(O169="English OK","🟢 LAUNCH","🟡 LAUNCH+LOC"),IF(N169="TEST",IF(O169="English OK","🟡 TEST","🟠 TEST+LOC"),"🔴 SKIP"))</f>
        <v>🟢 LAUNCH</v>
      </c>
    </row>
    <row r="170" customFormat="false" ht="15" hidden="false" customHeight="false" outlineLevel="0" collapsed="false">
      <c r="A170" s="8" t="s">
        <v>17</v>
      </c>
      <c r="B170" s="8" t="s">
        <v>56</v>
      </c>
      <c r="C170" s="8" t="s">
        <v>93</v>
      </c>
      <c r="D170" s="12" t="n">
        <v>90</v>
      </c>
      <c r="E170" s="8" t="s">
        <v>37</v>
      </c>
      <c r="F170" s="13" t="n">
        <v>0.22</v>
      </c>
      <c r="G170" s="13" t="n">
        <v>1.55</v>
      </c>
      <c r="H170" s="14" t="n">
        <f aca="false">(F170+G170)/2</f>
        <v>0.885</v>
      </c>
      <c r="I170" s="15" t="n">
        <f aca="false">ROUND(Assumptions!$B$4/H170,0)</f>
        <v>565</v>
      </c>
      <c r="J170" s="16" t="n">
        <f aca="false">ROUND(I170*Assumptions!$B$7,2)</f>
        <v>14.04</v>
      </c>
      <c r="K170" s="10" t="n">
        <f aca="false">IF(J170&gt;0,ROUND(Assumptions!$B$4/J170,0),9999)</f>
        <v>36</v>
      </c>
      <c r="L170" s="9" t="n">
        <v>128</v>
      </c>
      <c r="M170" s="10" t="n">
        <f aca="false">L170*Assumptions!$B$9</f>
        <v>57.6</v>
      </c>
      <c r="N170" s="17" t="str">
        <f aca="false">IF(K170&lt;=Assumptions!$B$8,"YES ✓",IF(K170&lt;=M170,"TEST","NO ✗"))</f>
        <v>YES ✓</v>
      </c>
      <c r="O170" s="8" t="s">
        <v>49</v>
      </c>
      <c r="P170" s="17" t="str">
        <f aca="false">IF(N170="YES ✓",IF(O170="English OK","🟢 LAUNCH","🟡 LAUNCH+LOC"),IF(N170="TEST",IF(O170="English OK","🟡 TEST","🟠 TEST+LOC"),"🔴 SKIP"))</f>
        <v>🟡 LAUNCH+LOC</v>
      </c>
    </row>
    <row r="171" customFormat="false" ht="15" hidden="false" customHeight="false" outlineLevel="0" collapsed="false">
      <c r="A171" s="8" t="s">
        <v>17</v>
      </c>
      <c r="B171" s="8" t="s">
        <v>60</v>
      </c>
      <c r="C171" s="8" t="s">
        <v>95</v>
      </c>
      <c r="D171" s="12" t="n">
        <v>170</v>
      </c>
      <c r="E171" s="8" t="s">
        <v>96</v>
      </c>
      <c r="F171" s="13" t="n">
        <v>0.18</v>
      </c>
      <c r="G171" s="13" t="n">
        <v>1.79</v>
      </c>
      <c r="H171" s="14" t="n">
        <f aca="false">(F171+G171)/2</f>
        <v>0.985</v>
      </c>
      <c r="I171" s="15" t="n">
        <f aca="false">ROUND(Assumptions!$B$4/H171,0)</f>
        <v>508</v>
      </c>
      <c r="J171" s="16" t="n">
        <f aca="false">ROUND(I171*Assumptions!$B$7,2)</f>
        <v>12.62</v>
      </c>
      <c r="K171" s="10" t="n">
        <f aca="false">IF(J171&gt;0,ROUND(Assumptions!$B$4/J171,0),9999)</f>
        <v>40</v>
      </c>
      <c r="L171" s="9" t="n">
        <v>128</v>
      </c>
      <c r="M171" s="10" t="n">
        <f aca="false">L171*Assumptions!$B$9</f>
        <v>57.6</v>
      </c>
      <c r="N171" s="17" t="str">
        <f aca="false">IF(K171&lt;=Assumptions!$B$8,"YES ✓",IF(K171&lt;=M171,"TEST","NO ✗"))</f>
        <v>YES ✓</v>
      </c>
      <c r="O171" s="8" t="s">
        <v>49</v>
      </c>
      <c r="P171" s="17" t="str">
        <f aca="false">IF(N171="YES ✓",IF(O171="English OK","🟢 LAUNCH","🟡 LAUNCH+LOC"),IF(N171="TEST",IF(O171="English OK","🟡 TEST","🟠 TEST+LOC"),"🔴 SKIP"))</f>
        <v>🟡 LAUNCH+LOC</v>
      </c>
    </row>
    <row r="172" customFormat="false" ht="15" hidden="false" customHeight="false" outlineLevel="0" collapsed="false">
      <c r="A172" s="8" t="s">
        <v>18</v>
      </c>
      <c r="B172" s="8" t="s">
        <v>35</v>
      </c>
      <c r="C172" s="8" t="s">
        <v>97</v>
      </c>
      <c r="D172" s="12" t="n">
        <v>140</v>
      </c>
      <c r="E172" s="8" t="s">
        <v>37</v>
      </c>
      <c r="F172" s="13" t="n">
        <v>0.09</v>
      </c>
      <c r="G172" s="13" t="n">
        <v>0.62</v>
      </c>
      <c r="H172" s="14" t="n">
        <f aca="false">(F172+G172)/2</f>
        <v>0.355</v>
      </c>
      <c r="I172" s="15" t="n">
        <f aca="false">ROUND(Assumptions!$B$4/H172,0)</f>
        <v>1408</v>
      </c>
      <c r="J172" s="16" t="n">
        <f aca="false">ROUND(I172*Assumptions!$B$7,2)</f>
        <v>34.99</v>
      </c>
      <c r="K172" s="10" t="n">
        <f aca="false">IF(J172&gt;0,ROUND(Assumptions!$B$4/J172,0),9999)</f>
        <v>14</v>
      </c>
      <c r="L172" s="9" t="n">
        <v>190</v>
      </c>
      <c r="M172" s="10" t="n">
        <f aca="false">L172*Assumptions!$B$9</f>
        <v>85.5</v>
      </c>
      <c r="N172" s="17" t="str">
        <f aca="false">IF(K172&lt;=Assumptions!$B$8,"YES ✓",IF(K172&lt;=M172,"TEST","NO ✗"))</f>
        <v>YES ✓</v>
      </c>
      <c r="O172" s="8" t="s">
        <v>38</v>
      </c>
      <c r="P172" s="17" t="str">
        <f aca="false">IF(N172="YES ✓",IF(O172="English OK","🟢 LAUNCH","🟡 LAUNCH+LOC"),IF(N172="TEST",IF(O172="English OK","🟡 TEST","🟠 TEST+LOC"),"🔴 SKIP"))</f>
        <v>🟢 LAUNCH</v>
      </c>
    </row>
    <row r="173" customFormat="false" ht="15" hidden="false" customHeight="false" outlineLevel="0" collapsed="false">
      <c r="A173" s="8" t="s">
        <v>18</v>
      </c>
      <c r="B173" s="8" t="s">
        <v>35</v>
      </c>
      <c r="C173" s="8" t="s">
        <v>98</v>
      </c>
      <c r="D173" s="12" t="n">
        <v>70</v>
      </c>
      <c r="E173" s="8" t="s">
        <v>37</v>
      </c>
      <c r="F173" s="13" t="n">
        <v>0.08</v>
      </c>
      <c r="G173" s="13" t="n">
        <v>0.55</v>
      </c>
      <c r="H173" s="14" t="n">
        <f aca="false">(F173+G173)/2</f>
        <v>0.315</v>
      </c>
      <c r="I173" s="15" t="n">
        <f aca="false">ROUND(Assumptions!$B$4/H173,0)</f>
        <v>1587</v>
      </c>
      <c r="J173" s="16" t="n">
        <f aca="false">ROUND(I173*Assumptions!$B$7,2)</f>
        <v>39.44</v>
      </c>
      <c r="K173" s="10" t="n">
        <f aca="false">IF(J173&gt;0,ROUND(Assumptions!$B$4/J173,0),9999)</f>
        <v>13</v>
      </c>
      <c r="L173" s="9" t="n">
        <v>190</v>
      </c>
      <c r="M173" s="10" t="n">
        <f aca="false">L173*Assumptions!$B$9</f>
        <v>85.5</v>
      </c>
      <c r="N173" s="17" t="str">
        <f aca="false">IF(K173&lt;=Assumptions!$B$8,"YES ✓",IF(K173&lt;=M173,"TEST","NO ✗"))</f>
        <v>YES ✓</v>
      </c>
      <c r="O173" s="8" t="s">
        <v>38</v>
      </c>
      <c r="P173" s="17" t="str">
        <f aca="false">IF(N173="YES ✓",IF(O173="English OK","🟢 LAUNCH","🟡 LAUNCH+LOC"),IF(N173="TEST",IF(O173="English OK","🟡 TEST","🟠 TEST+LOC"),"🔴 SKIP"))</f>
        <v>🟢 LAUNCH</v>
      </c>
    </row>
    <row r="174" customFormat="false" ht="15" hidden="false" customHeight="false" outlineLevel="0" collapsed="false">
      <c r="A174" s="8" t="s">
        <v>18</v>
      </c>
      <c r="B174" s="8" t="s">
        <v>45</v>
      </c>
      <c r="C174" s="8" t="s">
        <v>97</v>
      </c>
      <c r="D174" s="12" t="n">
        <v>90</v>
      </c>
      <c r="E174" s="8" t="s">
        <v>37</v>
      </c>
      <c r="F174" s="13" t="n">
        <v>0.11</v>
      </c>
      <c r="G174" s="13" t="n">
        <v>0.68</v>
      </c>
      <c r="H174" s="14" t="n">
        <f aca="false">(F174+G174)/2</f>
        <v>0.395</v>
      </c>
      <c r="I174" s="15" t="n">
        <f aca="false">ROUND(Assumptions!$B$4/H174,0)</f>
        <v>1266</v>
      </c>
      <c r="J174" s="16" t="n">
        <f aca="false">ROUND(I174*Assumptions!$B$7,2)</f>
        <v>31.46</v>
      </c>
      <c r="K174" s="10" t="n">
        <f aca="false">IF(J174&gt;0,ROUND(Assumptions!$B$4/J174,0),9999)</f>
        <v>16</v>
      </c>
      <c r="L174" s="9" t="n">
        <v>190</v>
      </c>
      <c r="M174" s="10" t="n">
        <f aca="false">L174*Assumptions!$B$9</f>
        <v>85.5</v>
      </c>
      <c r="N174" s="17" t="str">
        <f aca="false">IF(K174&lt;=Assumptions!$B$8,"YES ✓",IF(K174&lt;=M174,"TEST","NO ✗"))</f>
        <v>YES ✓</v>
      </c>
      <c r="O174" s="8" t="s">
        <v>38</v>
      </c>
      <c r="P174" s="17" t="str">
        <f aca="false">IF(N174="YES ✓",IF(O174="English OK","🟢 LAUNCH","🟡 LAUNCH+LOC"),IF(N174="TEST",IF(O174="English OK","🟡 TEST","🟠 TEST+LOC"),"🔴 SKIP"))</f>
        <v>🟢 LAUNCH</v>
      </c>
    </row>
    <row r="175" customFormat="false" ht="15" hidden="false" customHeight="false" outlineLevel="0" collapsed="false">
      <c r="A175" s="8" t="s">
        <v>18</v>
      </c>
      <c r="B175" s="8" t="s">
        <v>45</v>
      </c>
      <c r="C175" s="8" t="s">
        <v>98</v>
      </c>
      <c r="D175" s="12" t="n">
        <v>50</v>
      </c>
      <c r="E175" s="8" t="s">
        <v>37</v>
      </c>
      <c r="F175" s="13" t="n">
        <v>0.1</v>
      </c>
      <c r="G175" s="13" t="n">
        <v>0.62</v>
      </c>
      <c r="H175" s="14" t="n">
        <f aca="false">(F175+G175)/2</f>
        <v>0.36</v>
      </c>
      <c r="I175" s="15" t="n">
        <f aca="false">ROUND(Assumptions!$B$4/H175,0)</f>
        <v>1389</v>
      </c>
      <c r="J175" s="16" t="n">
        <f aca="false">ROUND(I175*Assumptions!$B$7,2)</f>
        <v>34.52</v>
      </c>
      <c r="K175" s="10" t="n">
        <f aca="false">IF(J175&gt;0,ROUND(Assumptions!$B$4/J175,0),9999)</f>
        <v>14</v>
      </c>
      <c r="L175" s="9" t="n">
        <v>190</v>
      </c>
      <c r="M175" s="10" t="n">
        <f aca="false">L175*Assumptions!$B$9</f>
        <v>85.5</v>
      </c>
      <c r="N175" s="17" t="str">
        <f aca="false">IF(K175&lt;=Assumptions!$B$8,"YES ✓",IF(K175&lt;=M175,"TEST","NO ✗"))</f>
        <v>YES ✓</v>
      </c>
      <c r="O175" s="8" t="s">
        <v>38</v>
      </c>
      <c r="P175" s="17" t="str">
        <f aca="false">IF(N175="YES ✓",IF(O175="English OK","🟢 LAUNCH","🟡 LAUNCH+LOC"),IF(N175="TEST",IF(O175="English OK","🟡 TEST","🟠 TEST+LOC"),"🔴 SKIP"))</f>
        <v>🟢 LAUNCH</v>
      </c>
    </row>
    <row r="176" customFormat="false" ht="15" hidden="false" customHeight="false" outlineLevel="0" collapsed="false">
      <c r="A176" s="8" t="s">
        <v>18</v>
      </c>
      <c r="B176" s="8" t="s">
        <v>47</v>
      </c>
      <c r="C176" s="8" t="s">
        <v>97</v>
      </c>
      <c r="D176" s="12" t="n">
        <v>110</v>
      </c>
      <c r="E176" s="8" t="s">
        <v>37</v>
      </c>
      <c r="F176" s="13" t="n">
        <v>0.18</v>
      </c>
      <c r="G176" s="13" t="n">
        <v>1.25</v>
      </c>
      <c r="H176" s="14" t="n">
        <f aca="false">(F176+G176)/2</f>
        <v>0.715</v>
      </c>
      <c r="I176" s="15" t="n">
        <f aca="false">ROUND(Assumptions!$B$4/H176,0)</f>
        <v>699</v>
      </c>
      <c r="J176" s="16" t="n">
        <f aca="false">ROUND(I176*Assumptions!$B$7,2)</f>
        <v>17.37</v>
      </c>
      <c r="K176" s="10" t="n">
        <f aca="false">IF(J176&gt;0,ROUND(Assumptions!$B$4/J176,0),9999)</f>
        <v>29</v>
      </c>
      <c r="L176" s="9" t="n">
        <v>190</v>
      </c>
      <c r="M176" s="10" t="n">
        <f aca="false">L176*Assumptions!$B$9</f>
        <v>85.5</v>
      </c>
      <c r="N176" s="17" t="str">
        <f aca="false">IF(K176&lt;=Assumptions!$B$8,"YES ✓",IF(K176&lt;=M176,"TEST","NO ✗"))</f>
        <v>YES ✓</v>
      </c>
      <c r="O176" s="8" t="s">
        <v>49</v>
      </c>
      <c r="P176" s="17" t="str">
        <f aca="false">IF(N176="YES ✓",IF(O176="English OK","🟢 LAUNCH","🟡 LAUNCH+LOC"),IF(N176="TEST",IF(O176="English OK","🟡 TEST","🟠 TEST+LOC"),"🔴 SKIP"))</f>
        <v>🟡 LAUNCH+LOC</v>
      </c>
    </row>
    <row r="177" customFormat="false" ht="15" hidden="false" customHeight="false" outlineLevel="0" collapsed="false">
      <c r="A177" s="8" t="s">
        <v>18</v>
      </c>
      <c r="B177" s="8" t="s">
        <v>53</v>
      </c>
      <c r="C177" s="8" t="s">
        <v>97</v>
      </c>
      <c r="D177" s="12" t="n">
        <v>110</v>
      </c>
      <c r="E177" s="8" t="s">
        <v>37</v>
      </c>
      <c r="F177" s="13" t="n">
        <v>0.25</v>
      </c>
      <c r="G177" s="13" t="n">
        <v>1.58</v>
      </c>
      <c r="H177" s="14" t="n">
        <f aca="false">(F177+G177)/2</f>
        <v>0.915</v>
      </c>
      <c r="I177" s="15" t="n">
        <f aca="false">ROUND(Assumptions!$B$4/H177,0)</f>
        <v>546</v>
      </c>
      <c r="J177" s="16" t="n">
        <f aca="false">ROUND(I177*Assumptions!$B$7,2)</f>
        <v>13.57</v>
      </c>
      <c r="K177" s="10" t="n">
        <f aca="false">IF(J177&gt;0,ROUND(Assumptions!$B$4/J177,0),9999)</f>
        <v>37</v>
      </c>
      <c r="L177" s="9" t="n">
        <v>190</v>
      </c>
      <c r="M177" s="10" t="n">
        <f aca="false">L177*Assumptions!$B$9</f>
        <v>85.5</v>
      </c>
      <c r="N177" s="17" t="str">
        <f aca="false">IF(K177&lt;=Assumptions!$B$8,"YES ✓",IF(K177&lt;=M177,"TEST","NO ✗"))</f>
        <v>YES ✓</v>
      </c>
      <c r="O177" s="8" t="s">
        <v>38</v>
      </c>
      <c r="P177" s="17" t="str">
        <f aca="false">IF(N177="YES ✓",IF(O177="English OK","🟢 LAUNCH","🟡 LAUNCH+LOC"),IF(N177="TEST",IF(O177="English OK","🟡 TEST","🟠 TEST+LOC"),"🔴 SKIP"))</f>
        <v>🟢 LAUNCH</v>
      </c>
    </row>
    <row r="178" customFormat="false" ht="15" hidden="false" customHeight="false" outlineLevel="0" collapsed="false">
      <c r="A178" s="8" t="s">
        <v>18</v>
      </c>
      <c r="B178" s="8" t="s">
        <v>53</v>
      </c>
      <c r="C178" s="8" t="s">
        <v>98</v>
      </c>
      <c r="D178" s="12" t="n">
        <v>50</v>
      </c>
      <c r="E178" s="8" t="s">
        <v>37</v>
      </c>
      <c r="F178" s="13" t="n">
        <v>0.28</v>
      </c>
      <c r="G178" s="13" t="n">
        <v>1.65</v>
      </c>
      <c r="H178" s="14" t="n">
        <f aca="false">(F178+G178)/2</f>
        <v>0.965</v>
      </c>
      <c r="I178" s="15" t="n">
        <f aca="false">ROUND(Assumptions!$B$4/H178,0)</f>
        <v>518</v>
      </c>
      <c r="J178" s="16" t="n">
        <f aca="false">ROUND(I178*Assumptions!$B$7,2)</f>
        <v>12.87</v>
      </c>
      <c r="K178" s="10" t="n">
        <f aca="false">IF(J178&gt;0,ROUND(Assumptions!$B$4/J178,0),9999)</f>
        <v>39</v>
      </c>
      <c r="L178" s="9" t="n">
        <v>190</v>
      </c>
      <c r="M178" s="10" t="n">
        <f aca="false">L178*Assumptions!$B$9</f>
        <v>85.5</v>
      </c>
      <c r="N178" s="17" t="str">
        <f aca="false">IF(K178&lt;=Assumptions!$B$8,"YES ✓",IF(K178&lt;=M178,"TEST","NO ✗"))</f>
        <v>YES ✓</v>
      </c>
      <c r="O178" s="8" t="s">
        <v>38</v>
      </c>
      <c r="P178" s="17" t="str">
        <f aca="false">IF(N178="YES ✓",IF(O178="English OK","🟢 LAUNCH","🟡 LAUNCH+LOC"),IF(N178="TEST",IF(O178="English OK","🟡 TEST","🟠 TEST+LOC"),"🔴 SKIP"))</f>
        <v>🟢 LAUNCH</v>
      </c>
    </row>
    <row r="179" customFormat="false" ht="15" hidden="false" customHeight="false" outlineLevel="0" collapsed="false">
      <c r="A179" s="8" t="s">
        <v>18</v>
      </c>
      <c r="B179" s="8" t="s">
        <v>54</v>
      </c>
      <c r="C179" s="8" t="s">
        <v>97</v>
      </c>
      <c r="D179" s="12" t="n">
        <v>70</v>
      </c>
      <c r="E179" s="8" t="s">
        <v>37</v>
      </c>
      <c r="F179" s="13" t="n">
        <v>0.4</v>
      </c>
      <c r="G179" s="13" t="n">
        <v>2.45</v>
      </c>
      <c r="H179" s="14" t="n">
        <f aca="false">(F179+G179)/2</f>
        <v>1.425</v>
      </c>
      <c r="I179" s="15" t="n">
        <f aca="false">ROUND(Assumptions!$B$4/H179,0)</f>
        <v>351</v>
      </c>
      <c r="J179" s="16" t="n">
        <f aca="false">ROUND(I179*Assumptions!$B$7,2)</f>
        <v>8.72</v>
      </c>
      <c r="K179" s="10" t="n">
        <f aca="false">IF(J179&gt;0,ROUND(Assumptions!$B$4/J179,0),9999)</f>
        <v>57</v>
      </c>
      <c r="L179" s="9" t="n">
        <v>190</v>
      </c>
      <c r="M179" s="10" t="n">
        <f aca="false">L179*Assumptions!$B$9</f>
        <v>85.5</v>
      </c>
      <c r="N179" s="17" t="str">
        <f aca="false">IF(K179&lt;=Assumptions!$B$8,"YES ✓",IF(K179&lt;=M179,"TEST","NO ✗"))</f>
        <v>TEST</v>
      </c>
      <c r="O179" s="8" t="s">
        <v>38</v>
      </c>
      <c r="P179" s="17" t="str">
        <f aca="false">IF(N179="YES ✓",IF(O179="English OK","🟢 LAUNCH","🟡 LAUNCH+LOC"),IF(N179="TEST",IF(O179="English OK","🟡 TEST","🟠 TEST+LOC"),"🔴 SKIP"))</f>
        <v>🟡 TEST</v>
      </c>
    </row>
    <row r="180" customFormat="false" ht="15" hidden="false" customHeight="false" outlineLevel="0" collapsed="false">
      <c r="A180" s="8" t="s">
        <v>19</v>
      </c>
      <c r="B180" s="8" t="s">
        <v>35</v>
      </c>
      <c r="C180" s="8" t="s">
        <v>93</v>
      </c>
      <c r="D180" s="12" t="n">
        <v>480</v>
      </c>
      <c r="E180" s="8" t="s">
        <v>37</v>
      </c>
      <c r="F180" s="13" t="n">
        <v>0.08</v>
      </c>
      <c r="G180" s="13" t="n">
        <v>0.55</v>
      </c>
      <c r="H180" s="14" t="n">
        <f aca="false">(F180+G180)/2</f>
        <v>0.315</v>
      </c>
      <c r="I180" s="15" t="n">
        <f aca="false">ROUND(Assumptions!$B$4/H180,0)</f>
        <v>1587</v>
      </c>
      <c r="J180" s="16" t="n">
        <f aca="false">ROUND(I180*Assumptions!$B$7,2)</f>
        <v>39.44</v>
      </c>
      <c r="K180" s="10" t="n">
        <f aca="false">IF(J180&gt;0,ROUND(Assumptions!$B$4/J180,0),9999)</f>
        <v>13</v>
      </c>
      <c r="L180" s="9" t="n">
        <v>120</v>
      </c>
      <c r="M180" s="10" t="n">
        <f aca="false">L180*Assumptions!$B$9</f>
        <v>54</v>
      </c>
      <c r="N180" s="17" t="str">
        <f aca="false">IF(K180&lt;=Assumptions!$B$8,"YES ✓",IF(K180&lt;=M180,"TEST","NO ✗"))</f>
        <v>YES ✓</v>
      </c>
      <c r="O180" s="8" t="s">
        <v>38</v>
      </c>
      <c r="P180" s="17" t="str">
        <f aca="false">IF(N180="YES ✓",IF(O180="English OK","🟢 LAUNCH","🟡 LAUNCH+LOC"),IF(N180="TEST",IF(O180="English OK","🟡 TEST","🟠 TEST+LOC"),"🔴 SKIP"))</f>
        <v>🟢 LAUNCH</v>
      </c>
    </row>
    <row r="181" customFormat="false" ht="15" hidden="false" customHeight="false" outlineLevel="0" collapsed="false">
      <c r="A181" s="8" t="s">
        <v>19</v>
      </c>
      <c r="B181" s="8" t="s">
        <v>45</v>
      </c>
      <c r="C181" s="8" t="s">
        <v>93</v>
      </c>
      <c r="D181" s="12" t="n">
        <v>390</v>
      </c>
      <c r="E181" s="8" t="s">
        <v>37</v>
      </c>
      <c r="F181" s="13" t="n">
        <v>0.1</v>
      </c>
      <c r="G181" s="13" t="n">
        <v>0.68</v>
      </c>
      <c r="H181" s="14" t="n">
        <f aca="false">(F181+G181)/2</f>
        <v>0.39</v>
      </c>
      <c r="I181" s="15" t="n">
        <f aca="false">ROUND(Assumptions!$B$4/H181,0)</f>
        <v>1282</v>
      </c>
      <c r="J181" s="16" t="n">
        <f aca="false">ROUND(I181*Assumptions!$B$7,2)</f>
        <v>31.86</v>
      </c>
      <c r="K181" s="10" t="n">
        <f aca="false">IF(J181&gt;0,ROUND(Assumptions!$B$4/J181,0),9999)</f>
        <v>16</v>
      </c>
      <c r="L181" s="9" t="n">
        <v>120</v>
      </c>
      <c r="M181" s="10" t="n">
        <f aca="false">L181*Assumptions!$B$9</f>
        <v>54</v>
      </c>
      <c r="N181" s="17" t="str">
        <f aca="false">IF(K181&lt;=Assumptions!$B$8,"YES ✓",IF(K181&lt;=M181,"TEST","NO ✗"))</f>
        <v>YES ✓</v>
      </c>
      <c r="O181" s="8" t="s">
        <v>38</v>
      </c>
      <c r="P181" s="17" t="str">
        <f aca="false">IF(N181="YES ✓",IF(O181="English OK","🟢 LAUNCH","🟡 LAUNCH+LOC"),IF(N181="TEST",IF(O181="English OK","🟡 TEST","🟠 TEST+LOC"),"🔴 SKIP"))</f>
        <v>🟢 LAUNCH</v>
      </c>
    </row>
    <row r="182" customFormat="false" ht="15" hidden="false" customHeight="false" outlineLevel="0" collapsed="false">
      <c r="A182" s="8" t="s">
        <v>19</v>
      </c>
      <c r="B182" s="8" t="s">
        <v>47</v>
      </c>
      <c r="C182" s="8" t="s">
        <v>93</v>
      </c>
      <c r="D182" s="12" t="n">
        <v>320</v>
      </c>
      <c r="E182" s="8" t="s">
        <v>37</v>
      </c>
      <c r="F182" s="13" t="n">
        <v>0.14</v>
      </c>
      <c r="G182" s="13" t="n">
        <v>1.05</v>
      </c>
      <c r="H182" s="14" t="n">
        <f aca="false">(F182+G182)/2</f>
        <v>0.595</v>
      </c>
      <c r="I182" s="15" t="n">
        <f aca="false">ROUND(Assumptions!$B$4/H182,0)</f>
        <v>840</v>
      </c>
      <c r="J182" s="16" t="n">
        <f aca="false">ROUND(I182*Assumptions!$B$7,2)</f>
        <v>20.87</v>
      </c>
      <c r="K182" s="10" t="n">
        <f aca="false">IF(J182&gt;0,ROUND(Assumptions!$B$4/J182,0),9999)</f>
        <v>24</v>
      </c>
      <c r="L182" s="9" t="n">
        <v>120</v>
      </c>
      <c r="M182" s="10" t="n">
        <f aca="false">L182*Assumptions!$B$9</f>
        <v>54</v>
      </c>
      <c r="N182" s="17" t="str">
        <f aca="false">IF(K182&lt;=Assumptions!$B$8,"YES ✓",IF(K182&lt;=M182,"TEST","NO ✗"))</f>
        <v>YES ✓</v>
      </c>
      <c r="O182" s="8" t="s">
        <v>49</v>
      </c>
      <c r="P182" s="17" t="str">
        <f aca="false">IF(N182="YES ✓",IF(O182="English OK","🟢 LAUNCH","🟡 LAUNCH+LOC"),IF(N182="TEST",IF(O182="English OK","🟡 TEST","🟠 TEST+LOC"),"🔴 SKIP"))</f>
        <v>🟡 LAUNCH+LOC</v>
      </c>
    </row>
    <row r="183" customFormat="false" ht="15" hidden="false" customHeight="false" outlineLevel="0" collapsed="false">
      <c r="A183" s="8" t="s">
        <v>19</v>
      </c>
      <c r="B183" s="8" t="s">
        <v>53</v>
      </c>
      <c r="C183" s="8" t="s">
        <v>93</v>
      </c>
      <c r="D183" s="12" t="n">
        <v>260</v>
      </c>
      <c r="E183" s="8" t="s">
        <v>37</v>
      </c>
      <c r="F183" s="13" t="n">
        <v>0.22</v>
      </c>
      <c r="G183" s="13" t="n">
        <v>1.35</v>
      </c>
      <c r="H183" s="14" t="n">
        <f aca="false">(F183+G183)/2</f>
        <v>0.785</v>
      </c>
      <c r="I183" s="15" t="n">
        <f aca="false">ROUND(Assumptions!$B$4/H183,0)</f>
        <v>637</v>
      </c>
      <c r="J183" s="16" t="n">
        <f aca="false">ROUND(I183*Assumptions!$B$7,2)</f>
        <v>15.83</v>
      </c>
      <c r="K183" s="10" t="n">
        <f aca="false">IF(J183&gt;0,ROUND(Assumptions!$B$4/J183,0),9999)</f>
        <v>32</v>
      </c>
      <c r="L183" s="9" t="n">
        <v>120</v>
      </c>
      <c r="M183" s="10" t="n">
        <f aca="false">L183*Assumptions!$B$9</f>
        <v>54</v>
      </c>
      <c r="N183" s="17" t="str">
        <f aca="false">IF(K183&lt;=Assumptions!$B$8,"YES ✓",IF(K183&lt;=M183,"TEST","NO ✗"))</f>
        <v>YES ✓</v>
      </c>
      <c r="O183" s="8" t="s">
        <v>38</v>
      </c>
      <c r="P183" s="17" t="str">
        <f aca="false">IF(N183="YES ✓",IF(O183="English OK","🟢 LAUNCH","🟡 LAUNCH+LOC"),IF(N183="TEST",IF(O183="English OK","🟡 TEST","🟠 TEST+LOC"),"🔴 SKIP"))</f>
        <v>🟢 LAUNCH</v>
      </c>
    </row>
    <row r="184" customFormat="false" ht="15" hidden="false" customHeight="false" outlineLevel="0" collapsed="false">
      <c r="A184" s="8" t="s">
        <v>19</v>
      </c>
      <c r="B184" s="8" t="s">
        <v>54</v>
      </c>
      <c r="C184" s="8" t="s">
        <v>93</v>
      </c>
      <c r="D184" s="12" t="n">
        <v>170</v>
      </c>
      <c r="E184" s="8" t="s">
        <v>37</v>
      </c>
      <c r="F184" s="13" t="n">
        <v>0.3</v>
      </c>
      <c r="G184" s="13" t="n">
        <v>1.75</v>
      </c>
      <c r="H184" s="14" t="n">
        <f aca="false">(F184+G184)/2</f>
        <v>1.025</v>
      </c>
      <c r="I184" s="15" t="n">
        <f aca="false">ROUND(Assumptions!$B$4/H184,0)</f>
        <v>488</v>
      </c>
      <c r="J184" s="16" t="n">
        <f aca="false">ROUND(I184*Assumptions!$B$7,2)</f>
        <v>12.13</v>
      </c>
      <c r="K184" s="10" t="n">
        <f aca="false">IF(J184&gt;0,ROUND(Assumptions!$B$4/J184,0),9999)</f>
        <v>41</v>
      </c>
      <c r="L184" s="9" t="n">
        <v>120</v>
      </c>
      <c r="M184" s="10" t="n">
        <f aca="false">L184*Assumptions!$B$9</f>
        <v>54</v>
      </c>
      <c r="N184" s="17" t="str">
        <f aca="false">IF(K184&lt;=Assumptions!$B$8,"YES ✓",IF(K184&lt;=M184,"TEST","NO ✗"))</f>
        <v>YES ✓</v>
      </c>
      <c r="O184" s="8" t="s">
        <v>38</v>
      </c>
      <c r="P184" s="17" t="str">
        <f aca="false">IF(N184="YES ✓",IF(O184="English OK","🟢 LAUNCH","🟡 LAUNCH+LOC"),IF(N184="TEST",IF(O184="English OK","🟡 TEST","🟠 TEST+LOC"),"🔴 SKIP"))</f>
        <v>🟢 LAUNCH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LibreOffice/25.2.6.2$Linux_AARCH64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2026-02-03T04:44:45Z</dcterms:created>
  <dc:creator>openpyxl</dc:creator>
  <dc:description/>
  <dc:language>en-US</dc:language>
  <cp:lastModifiedBy/>
  <dcterms:modified xsi:type="dcterms:W3CDTF">2026-02-03T04:44:45Z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